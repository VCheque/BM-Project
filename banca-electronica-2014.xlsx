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165" yWindow="-150" windowWidth="9405" windowHeight="9990"/>
  </bookViews>
  <sheets>
    <sheet name="Banca electronica 2014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0" i="1" l="1"/>
  <c r="F74" i="1"/>
  <c r="E75" i="1"/>
  <c r="E74" i="1"/>
  <c r="D75" i="1"/>
  <c r="D74" i="1"/>
  <c r="D76" i="1"/>
  <c r="N47" i="1" l="1"/>
  <c r="C41" i="1" l="1"/>
  <c r="D41" i="1"/>
  <c r="E41" i="1"/>
  <c r="F41" i="1"/>
  <c r="G41" i="1"/>
  <c r="H41" i="1"/>
  <c r="I41" i="1"/>
  <c r="J41" i="1"/>
  <c r="K41" i="1"/>
  <c r="L41" i="1"/>
  <c r="M41" i="1"/>
  <c r="B41" i="1"/>
  <c r="N48" i="1" l="1"/>
  <c r="M16" i="1" l="1"/>
  <c r="N60" i="1" l="1"/>
  <c r="N59" i="1"/>
  <c r="N63" i="1"/>
  <c r="N62" i="1"/>
  <c r="N61" i="1"/>
  <c r="N55" i="1"/>
  <c r="N54" i="1"/>
  <c r="N53" i="1"/>
  <c r="N52" i="1"/>
  <c r="M25" i="1" l="1"/>
  <c r="M21" i="1"/>
  <c r="M17" i="1"/>
  <c r="M26" i="1"/>
  <c r="M24" i="1"/>
  <c r="M22" i="1"/>
  <c r="M23" i="1"/>
  <c r="M20" i="1"/>
  <c r="M19" i="1"/>
  <c r="L25" i="1"/>
  <c r="L18" i="1"/>
  <c r="L17" i="1"/>
  <c r="L27" i="1"/>
  <c r="L26" i="1"/>
  <c r="L24" i="1"/>
  <c r="L23" i="1"/>
  <c r="L22" i="1"/>
  <c r="L21" i="1"/>
  <c r="L20" i="1"/>
  <c r="L19" i="1"/>
  <c r="K27" i="1"/>
  <c r="K26" i="1"/>
  <c r="K25" i="1"/>
  <c r="K24" i="1"/>
  <c r="K23" i="1"/>
  <c r="K22" i="1"/>
  <c r="K21" i="1"/>
  <c r="K20" i="1"/>
  <c r="K19" i="1"/>
  <c r="K18" i="1"/>
  <c r="K17" i="1"/>
  <c r="M15" i="1"/>
  <c r="M14" i="1"/>
  <c r="M13" i="1"/>
  <c r="M12" i="1"/>
  <c r="M11" i="1"/>
  <c r="M10" i="1"/>
  <c r="M9" i="1"/>
  <c r="M8" i="1"/>
  <c r="M7" i="1"/>
  <c r="M6" i="1"/>
  <c r="M5" i="1"/>
  <c r="L6" i="1"/>
  <c r="L15" i="1"/>
  <c r="L14" i="1"/>
  <c r="L13" i="1"/>
  <c r="L12" i="1"/>
  <c r="L11" i="1"/>
  <c r="L10" i="1"/>
  <c r="L9" i="1"/>
  <c r="L8" i="1"/>
  <c r="L7" i="1"/>
  <c r="L5" i="1"/>
  <c r="K15" i="1"/>
  <c r="K13" i="1"/>
  <c r="K12" i="1"/>
  <c r="K6" i="1"/>
  <c r="K14" i="1"/>
  <c r="K11" i="1"/>
  <c r="K10" i="1"/>
  <c r="K9" i="1"/>
  <c r="K8" i="1"/>
  <c r="K7" i="1"/>
  <c r="K5" i="1"/>
  <c r="J4" i="1" l="1"/>
  <c r="J18" i="1"/>
  <c r="J17" i="1"/>
  <c r="J19" i="1"/>
  <c r="J20" i="1"/>
  <c r="J21" i="1"/>
  <c r="J22" i="1"/>
  <c r="J23" i="1"/>
  <c r="J24" i="1"/>
  <c r="J25" i="1"/>
  <c r="J26" i="1"/>
  <c r="J27" i="1"/>
  <c r="J15" i="1" l="1"/>
  <c r="J14" i="1"/>
  <c r="J13" i="1"/>
  <c r="J12" i="1"/>
  <c r="J11" i="1"/>
  <c r="J10" i="1"/>
  <c r="J9" i="1"/>
  <c r="J8" i="1"/>
  <c r="J7" i="1"/>
  <c r="J6" i="1"/>
  <c r="J5" i="1"/>
  <c r="I27" i="1" l="1"/>
  <c r="I26" i="1"/>
  <c r="I25" i="1"/>
  <c r="I24" i="1"/>
  <c r="I23" i="1"/>
  <c r="I22" i="1"/>
  <c r="I21" i="1"/>
  <c r="I20" i="1"/>
  <c r="I19" i="1"/>
  <c r="I17" i="1"/>
  <c r="I18" i="1" s="1"/>
  <c r="H17" i="1"/>
  <c r="H27" i="1"/>
  <c r="H26" i="1"/>
  <c r="H25" i="1"/>
  <c r="H24" i="1"/>
  <c r="H23" i="1"/>
  <c r="H22" i="1"/>
  <c r="H21" i="1"/>
  <c r="H20" i="1"/>
  <c r="H19" i="1"/>
  <c r="G27" i="1"/>
  <c r="G26" i="1"/>
  <c r="G25" i="1"/>
  <c r="G24" i="1"/>
  <c r="G23" i="1"/>
  <c r="G22" i="1"/>
  <c r="G21" i="1"/>
  <c r="G20" i="1"/>
  <c r="G19" i="1"/>
  <c r="G17" i="1"/>
  <c r="G18" i="1" s="1"/>
  <c r="I11" i="1" l="1"/>
  <c r="I5" i="1"/>
  <c r="I13" i="1"/>
  <c r="I9" i="1"/>
  <c r="I8" i="1"/>
  <c r="I7" i="1"/>
  <c r="I6" i="1"/>
  <c r="I14" i="1"/>
  <c r="I15" i="1"/>
  <c r="I12" i="1"/>
  <c r="I10" i="1"/>
  <c r="H15" i="1"/>
  <c r="H14" i="1"/>
  <c r="H13" i="1"/>
  <c r="H12" i="1"/>
  <c r="H11" i="1"/>
  <c r="H10" i="1"/>
  <c r="H9" i="1"/>
  <c r="H8" i="1"/>
  <c r="H7" i="1"/>
  <c r="H6" i="1"/>
  <c r="H5" i="1"/>
  <c r="G15" i="1"/>
  <c r="G14" i="1"/>
  <c r="G13" i="1"/>
  <c r="G12" i="1"/>
  <c r="G11" i="1"/>
  <c r="G10" i="1"/>
  <c r="G9" i="1"/>
  <c r="G8" i="1"/>
  <c r="G7" i="1"/>
  <c r="G6" i="1"/>
  <c r="G5" i="1"/>
  <c r="E59" i="1"/>
  <c r="F27" i="1"/>
  <c r="F26" i="1"/>
  <c r="F25" i="1"/>
  <c r="F24" i="1"/>
  <c r="F23" i="1"/>
  <c r="F22" i="1"/>
  <c r="F21" i="1"/>
  <c r="F20" i="1"/>
  <c r="F19" i="1"/>
  <c r="F17" i="1"/>
  <c r="F15" i="1"/>
  <c r="F14" i="1"/>
  <c r="F13" i="1"/>
  <c r="F12" i="1"/>
  <c r="F11" i="1"/>
  <c r="F10" i="1"/>
  <c r="F9" i="1"/>
  <c r="F8" i="1"/>
  <c r="F7" i="1"/>
  <c r="E5" i="1" l="1"/>
  <c r="E27" i="1" l="1"/>
  <c r="E26" i="1"/>
  <c r="E25" i="1"/>
  <c r="E24" i="1"/>
  <c r="E23" i="1"/>
  <c r="E22" i="1"/>
  <c r="E21" i="1"/>
  <c r="E19" i="1"/>
  <c r="E20" i="1"/>
  <c r="E18" i="1"/>
  <c r="E17" i="1"/>
  <c r="D27" i="1"/>
  <c r="D25" i="1"/>
  <c r="E15" i="1"/>
  <c r="E14" i="1"/>
  <c r="E13" i="1"/>
  <c r="E12" i="1"/>
  <c r="E11" i="1"/>
  <c r="E10" i="1"/>
  <c r="E9" i="1"/>
  <c r="E8" i="1"/>
  <c r="E7" i="1"/>
  <c r="E6" i="1"/>
  <c r="D18" i="1" l="1"/>
  <c r="D15" i="1" l="1"/>
  <c r="D14" i="1"/>
  <c r="D13" i="1"/>
  <c r="D12" i="1"/>
  <c r="D11" i="1"/>
  <c r="D10" i="1"/>
  <c r="D9" i="1"/>
  <c r="D8" i="1"/>
  <c r="D7" i="1"/>
  <c r="C25" i="1" l="1"/>
  <c r="C26" i="1"/>
  <c r="C27" i="1"/>
  <c r="C24" i="1"/>
  <c r="C23" i="1"/>
  <c r="C22" i="1"/>
  <c r="C21" i="1"/>
  <c r="C20" i="1"/>
  <c r="C19" i="1"/>
  <c r="C18" i="1"/>
  <c r="C17" i="1"/>
  <c r="C15" i="1"/>
  <c r="C14" i="1"/>
  <c r="C13" i="1"/>
  <c r="C12" i="1"/>
  <c r="C11" i="1"/>
  <c r="C10" i="1"/>
  <c r="C9" i="1"/>
  <c r="C8" i="1"/>
  <c r="C7" i="1"/>
  <c r="C6" i="1"/>
  <c r="C5" i="1"/>
  <c r="C31" i="1"/>
  <c r="B25" i="1" l="1"/>
  <c r="B27" i="1"/>
  <c r="B26" i="1"/>
  <c r="B24" i="1"/>
  <c r="B23" i="1"/>
  <c r="B22" i="1"/>
  <c r="B21" i="1"/>
  <c r="B20" i="1"/>
  <c r="B19" i="1"/>
  <c r="B17" i="1"/>
  <c r="B18" i="1" s="1"/>
  <c r="B15" i="1" l="1"/>
  <c r="B14" i="1"/>
  <c r="B13" i="1"/>
  <c r="B12" i="1"/>
  <c r="B11" i="1"/>
  <c r="B10" i="1"/>
  <c r="B9" i="1"/>
  <c r="B8" i="1"/>
  <c r="B7" i="1"/>
  <c r="B6" i="1"/>
  <c r="B5" i="1"/>
  <c r="N35" i="1" l="1"/>
  <c r="N34" i="1"/>
  <c r="N33" i="1"/>
  <c r="N32" i="1"/>
  <c r="N27" i="1"/>
  <c r="N26" i="1"/>
  <c r="N25" i="1"/>
  <c r="N24" i="1"/>
  <c r="N23" i="1"/>
  <c r="N22" i="1"/>
  <c r="N21" i="1"/>
  <c r="N20" i="1"/>
  <c r="N19" i="1"/>
  <c r="N18" i="1"/>
  <c r="N17" i="1"/>
  <c r="N15" i="1"/>
  <c r="N14" i="1"/>
  <c r="N13" i="1"/>
  <c r="N12" i="1"/>
  <c r="N11" i="1"/>
  <c r="N10" i="1"/>
  <c r="N9" i="1"/>
  <c r="N8" i="1"/>
  <c r="N7" i="1"/>
  <c r="N6" i="1"/>
  <c r="N5" i="1"/>
  <c r="N30" i="1"/>
  <c r="N29" i="1"/>
  <c r="C28" i="1"/>
  <c r="D28" i="1"/>
  <c r="E28" i="1"/>
  <c r="F28" i="1"/>
  <c r="G28" i="1"/>
  <c r="H28" i="1"/>
  <c r="I28" i="1"/>
  <c r="J28" i="1"/>
  <c r="K28" i="1"/>
  <c r="L28" i="1"/>
  <c r="M28" i="1"/>
  <c r="N28" i="1" s="1"/>
  <c r="B28" i="1"/>
  <c r="E31" i="1" l="1"/>
  <c r="F31" i="1"/>
  <c r="G31" i="1"/>
  <c r="H31" i="1"/>
  <c r="I31" i="1"/>
  <c r="J31" i="1"/>
  <c r="K31" i="1"/>
  <c r="L31" i="1"/>
  <c r="M31" i="1"/>
  <c r="N31" i="1" s="1"/>
  <c r="D31" i="1"/>
  <c r="N37" i="1" l="1"/>
  <c r="N38" i="1"/>
  <c r="N39" i="1"/>
  <c r="N40" i="1"/>
  <c r="N42" i="1"/>
  <c r="N43" i="1"/>
  <c r="N44" i="1"/>
  <c r="N45" i="1"/>
  <c r="L16" i="1" l="1"/>
  <c r="I4" i="1" l="1"/>
  <c r="B31" i="1"/>
  <c r="M4" i="1"/>
  <c r="N4" i="1" s="1"/>
  <c r="F4" i="1" l="1"/>
  <c r="G4" i="1"/>
  <c r="C36" i="1" l="1"/>
  <c r="D36" i="1"/>
  <c r="E36" i="1"/>
  <c r="F36" i="1"/>
  <c r="G36" i="1"/>
  <c r="H36" i="1"/>
  <c r="I36" i="1"/>
  <c r="J36" i="1"/>
  <c r="K36" i="1"/>
  <c r="L36" i="1"/>
  <c r="M36" i="1"/>
  <c r="N41" i="1" l="1"/>
  <c r="B36" i="1"/>
  <c r="N36" i="1" s="1"/>
  <c r="N16" i="1" l="1"/>
  <c r="K16" i="1"/>
  <c r="J16" i="1"/>
  <c r="I16" i="1"/>
  <c r="H16" i="1"/>
  <c r="G16" i="1"/>
  <c r="F16" i="1"/>
  <c r="E16" i="1"/>
  <c r="D16" i="1"/>
  <c r="C16" i="1"/>
  <c r="B16" i="1"/>
  <c r="L4" i="1"/>
  <c r="K4" i="1"/>
  <c r="H4" i="1"/>
  <c r="E4" i="1"/>
  <c r="D4" i="1"/>
  <c r="C4" i="1"/>
  <c r="B4" i="1"/>
  <c r="XFD16" i="1" l="1"/>
</calcChain>
</file>

<file path=xl/sharedStrings.xml><?xml version="1.0" encoding="utf-8"?>
<sst xmlns="http://schemas.openxmlformats.org/spreadsheetml/2006/main" count="56" uniqueCount="40">
  <si>
    <t>Número de Cartões</t>
  </si>
  <si>
    <t>Débito</t>
  </si>
  <si>
    <t>Crédito</t>
  </si>
  <si>
    <t>Total</t>
  </si>
  <si>
    <t>Número de máquinas</t>
  </si>
  <si>
    <t>ATM´s</t>
  </si>
  <si>
    <t>Cidade de Maputo</t>
  </si>
  <si>
    <t>Província de Maputo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</si>
  <si>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</si>
  <si>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</si>
  <si>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</si>
  <si>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</si>
  <si>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</si>
  <si>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</si>
  <si>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</si>
  <si>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</si>
  <si>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</si>
  <si>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POS´s</t>
  </si>
  <si>
    <t>Transferências</t>
  </si>
  <si>
    <t>Levantamentos</t>
  </si>
  <si>
    <t>Pagamentos de Serviços</t>
  </si>
  <si>
    <t>Volume de transacções efectuadas em ATM</t>
  </si>
  <si>
    <t>Valor de transacções efectuadas em ATM</t>
  </si>
  <si>
    <t>Pré-Pagos</t>
  </si>
  <si>
    <t>Número de Contas</t>
  </si>
  <si>
    <t>Em Moeda nacional</t>
  </si>
  <si>
    <t>Em Moeda estrangeira</t>
  </si>
  <si>
    <t>Quantidade de subscritores</t>
  </si>
  <si>
    <t>Internet Banking</t>
  </si>
  <si>
    <t>Volume dos pagamentos  efectuados</t>
  </si>
  <si>
    <t>Valor dos pagamentos efectuados</t>
  </si>
  <si>
    <t>Volume das transferências efectuadas</t>
  </si>
  <si>
    <t>Valor das transferências efectuadas</t>
  </si>
  <si>
    <t>Valor de transacções efectuadas (pagamentos)</t>
  </si>
  <si>
    <t>Volume de transacções efectuadas  (pagamentos)</t>
  </si>
  <si>
    <t>Mobile Banking</t>
  </si>
  <si>
    <t>Volume das transferências efectuadas para contas</t>
  </si>
  <si>
    <t>Valor das transferências efectuadas para contas</t>
  </si>
  <si>
    <t>Valor das transferências efectuadas para contas para telemóveis</t>
  </si>
  <si>
    <t>Volume das transferências efectuadas para telemóveis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</si>
</sst>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M_T_-;\-* #,##0.00\ _M_T_-;_-* &quot;-&quot;??\ _M_T_-;_-@_-"/>
    <numFmt numFmtId="165" formatCode="[$-409]mmm\-yy;@"/>
  </numFmts>
  <fonts count="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Font="1" applyFill="1" applyBorder="1"/>
    <xf numFmtId="0" fontId="1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3" fillId="0" borderId="3" xfId="0" applyFont="1" applyBorder="1"/>
    <xf numFmtId="165" fontId="4" fillId="0" borderId="2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/>
    </xf>
    <xf numFmtId="0" fontId="4" fillId="3" borderId="1" xfId="0" applyFont="1" applyFill="1" applyBorder="1"/>
    <xf numFmtId="165" fontId="4" fillId="3" borderId="0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3" fillId="0" borderId="1" xfId="0" applyFont="1" applyBorder="1"/>
    <xf numFmtId="3" fontId="6" fillId="0" borderId="0" xfId="0" applyNumberFormat="1" applyFont="1"/>
    <xf numFmtId="0" fontId="3" fillId="0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indent="1"/>
    </xf>
    <xf numFmtId="0" fontId="2" fillId="0" borderId="1" xfId="0" applyFont="1" applyBorder="1"/>
    <xf numFmtId="0" fontId="2" fillId="0" borderId="0" xfId="0" applyFont="1" applyFill="1"/>
    <xf numFmtId="0" fontId="4" fillId="4" borderId="1" xfId="0" applyFont="1" applyFill="1" applyBorder="1"/>
    <xf numFmtId="0" fontId="6" fillId="0" borderId="0" xfId="0" applyFont="1" applyBorder="1"/>
    <xf numFmtId="0" fontId="4" fillId="0" borderId="0" xfId="0" applyFont="1" applyFill="1" applyBorder="1" applyAlignment="1">
      <alignment horizontal="left"/>
    </xf>
    <xf numFmtId="3" fontId="2" fillId="0" borderId="0" xfId="0" applyNumberFormat="1" applyFont="1"/>
    <xf numFmtId="0" fontId="2" fillId="5" borderId="0" xfId="0" applyFont="1" applyFill="1"/>
    <xf numFmtId="0" fontId="3" fillId="6" borderId="1" xfId="0" applyFont="1" applyFill="1" applyBorder="1"/>
    <xf numFmtId="0" fontId="2" fillId="6" borderId="0" xfId="0" applyFont="1" applyFill="1"/>
    <xf numFmtId="0" fontId="3" fillId="0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64" fontId="3" fillId="0" borderId="0" xfId="1" applyFont="1" applyFill="1" applyBorder="1" applyAlignment="1">
      <alignment horizontal="right"/>
    </xf>
    <xf numFmtId="164" fontId="2" fillId="0" borderId="0" xfId="1" applyFont="1" applyFill="1"/>
    <xf numFmtId="164" fontId="2" fillId="0" borderId="0" xfId="1" applyFont="1"/>
    <xf numFmtId="164" fontId="3" fillId="3" borderId="0" xfId="1" applyFont="1" applyFill="1" applyBorder="1" applyAlignment="1">
      <alignment horizontal="right"/>
    </xf>
    <xf numFmtId="164" fontId="2" fillId="3" borderId="0" xfId="1" applyFont="1" applyFill="1"/>
    <xf numFmtId="164" fontId="5" fillId="4" borderId="0" xfId="1" applyFont="1" applyFill="1" applyBorder="1"/>
    <xf numFmtId="164" fontId="3" fillId="0" borderId="0" xfId="1" applyFont="1" applyBorder="1" applyAlignment="1">
      <alignment horizontal="right"/>
    </xf>
    <xf numFmtId="164" fontId="1" fillId="0" borderId="0" xfId="1" applyFont="1" applyBorder="1"/>
    <xf numFmtId="164" fontId="3" fillId="6" borderId="0" xfId="1" applyFont="1" applyFill="1" applyBorder="1" applyAlignment="1">
      <alignment horizontal="right"/>
    </xf>
    <xf numFmtId="164" fontId="4" fillId="3" borderId="1" xfId="1" applyFont="1" applyFill="1" applyBorder="1" applyAlignment="1">
      <alignment horizontal="left"/>
    </xf>
    <xf numFmtId="0" fontId="8" fillId="0" borderId="0" xfId="0" applyFont="1" applyFill="1"/>
    <xf numFmtId="164" fontId="1" fillId="0" borderId="0" xfId="1" applyFont="1" applyFill="1" applyBorder="1" applyAlignment="1">
      <alignment horizontal="right"/>
    </xf>
    <xf numFmtId="164" fontId="1" fillId="6" borderId="0" xfId="1" applyFont="1" applyFill="1" applyBorder="1" applyAlignment="1">
      <alignment horizontal="right"/>
    </xf>
    <xf numFmtId="164" fontId="2" fillId="0" borderId="0" xfId="1" applyFont="1" applyFill="1" applyBorder="1" applyAlignment="1">
      <alignment horizontal="right"/>
    </xf>
    <xf numFmtId="164" fontId="2" fillId="0" borderId="0" xfId="1" applyFont="1" applyBorder="1" applyAlignment="1">
      <alignment horizontal="right"/>
    </xf>
    <xf numFmtId="164" fontId="2" fillId="0" borderId="0" xfId="1" applyFont="1" applyBorder="1"/>
    <xf numFmtId="164" fontId="6" fillId="3" borderId="1" xfId="1" applyFont="1" applyFill="1" applyBorder="1"/>
    <xf numFmtId="164" fontId="6" fillId="3" borderId="0" xfId="1" applyFont="1" applyFill="1" applyBorder="1" applyAlignment="1">
      <alignment horizontal="right"/>
    </xf>
    <xf numFmtId="164" fontId="2" fillId="3" borderId="0" xfId="1" applyFont="1" applyFill="1" applyBorder="1" applyAlignment="1">
      <alignment horizontal="right"/>
    </xf>
    <xf numFmtId="164" fontId="2" fillId="6" borderId="0" xfId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0"/>
  <sheetViews>
    <sheetView tabSelected="1" workbookViewId="0">
      <pane xSplit="1" ySplit="2" topLeftCell="K27" activePane="bottomRight" state="frozen"/>
      <selection pane="topRight" activeCell="B1" sqref="B1"/>
      <selection pane="bottomLeft" activeCell="A3" sqref="A3"/>
      <selection pane="bottomRight" activeCell="L34" sqref="L34"/>
    </sheetView>
  </sheetViews>
  <sheetFormatPr defaultRowHeight="12" x14ac:dyDescent="0.2"/>
  <cols>
    <col min="1" max="1" width="58.28515625" style="4" customWidth="1"/>
    <col min="2" max="5" width="16.42578125" style="4" bestFit="1" customWidth="1"/>
    <col min="6" max="13" width="16.28515625" style="4" bestFit="1" customWidth="1"/>
    <col min="14" max="14" width="17.42578125" style="4" bestFit="1" customWidth="1"/>
    <col min="15" max="16384" width="9.140625" style="4"/>
  </cols>
  <sheetData>
    <row r="1" spans="1:15 16384:16384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 16384:16384" x14ac:dyDescent="0.2">
      <c r="A2" s="5"/>
      <c r="B2" s="6">
        <v>41640</v>
      </c>
      <c r="C2" s="6">
        <v>41671</v>
      </c>
      <c r="D2" s="6">
        <v>41699</v>
      </c>
      <c r="E2" s="6">
        <v>41730</v>
      </c>
      <c r="F2" s="6">
        <v>41760</v>
      </c>
      <c r="G2" s="6">
        <v>52383</v>
      </c>
      <c r="H2" s="6">
        <v>41821</v>
      </c>
      <c r="I2" s="6">
        <v>41852</v>
      </c>
      <c r="J2" s="6">
        <v>41883</v>
      </c>
      <c r="K2" s="6">
        <v>41913</v>
      </c>
      <c r="L2" s="6">
        <v>41944</v>
      </c>
      <c r="M2" s="6">
        <v>41974</v>
      </c>
      <c r="N2" s="7" t="s">
        <v>3</v>
      </c>
      <c r="O2" s="3"/>
    </row>
    <row r="3" spans="1:15 16384:16384" x14ac:dyDescent="0.2">
      <c r="A3" s="8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"/>
    </row>
    <row r="4" spans="1:15 16384:16384" s="10" customFormat="1" x14ac:dyDescent="0.2">
      <c r="A4" s="18" t="s">
        <v>5</v>
      </c>
      <c r="B4" s="33">
        <f t="shared" ref="B4:M4" si="0">SUM(B5:B15)</f>
        <v>1090</v>
      </c>
      <c r="C4" s="33">
        <f t="shared" si="0"/>
        <v>1106</v>
      </c>
      <c r="D4" s="33">
        <f t="shared" si="0"/>
        <v>1116</v>
      </c>
      <c r="E4" s="33">
        <f t="shared" si="0"/>
        <v>1128</v>
      </c>
      <c r="F4" s="33">
        <f t="shared" si="0"/>
        <v>1129</v>
      </c>
      <c r="G4" s="33">
        <f t="shared" si="0"/>
        <v>1153</v>
      </c>
      <c r="H4" s="33">
        <f t="shared" si="0"/>
        <v>1163</v>
      </c>
      <c r="I4" s="33">
        <f t="shared" si="0"/>
        <v>1176</v>
      </c>
      <c r="J4" s="33">
        <f>SUM(J5:J15)</f>
        <v>1187</v>
      </c>
      <c r="K4" s="33">
        <f t="shared" si="0"/>
        <v>1240</v>
      </c>
      <c r="L4" s="33">
        <f t="shared" si="0"/>
        <v>1240</v>
      </c>
      <c r="M4" s="33">
        <f t="shared" si="0"/>
        <v>1302</v>
      </c>
      <c r="N4" s="33">
        <f>SUM(M4+0)</f>
        <v>1302</v>
      </c>
      <c r="O4" s="19"/>
    </row>
    <row r="5" spans="1:15 16384:16384" x14ac:dyDescent="0.2">
      <c r="A5" s="11" t="s">
        <v>6</v>
      </c>
      <c r="B5" s="34">
        <f>190+203</f>
        <v>393</v>
      </c>
      <c r="C5" s="34">
        <f>208+193</f>
        <v>401</v>
      </c>
      <c r="D5" s="34">
        <v>405</v>
      </c>
      <c r="E5" s="34">
        <f>211+191</f>
        <v>402</v>
      </c>
      <c r="F5" s="30">
        <v>400</v>
      </c>
      <c r="G5" s="34">
        <f>219+196</f>
        <v>415</v>
      </c>
      <c r="H5" s="35">
        <f>223+197</f>
        <v>420</v>
      </c>
      <c r="I5" s="35">
        <f>222+202</f>
        <v>424</v>
      </c>
      <c r="J5" s="35">
        <f>226+201</f>
        <v>427</v>
      </c>
      <c r="K5" s="35">
        <f>233+205</f>
        <v>438</v>
      </c>
      <c r="L5" s="35">
        <f>240+165</f>
        <v>405</v>
      </c>
      <c r="M5" s="35">
        <f>261+168</f>
        <v>429</v>
      </c>
      <c r="N5" s="35">
        <f t="shared" ref="N5:N27" si="1">SUM(M5+0)</f>
        <v>429</v>
      </c>
      <c r="O5" s="3"/>
    </row>
    <row r="6" spans="1:15 16384:16384" x14ac:dyDescent="0.2">
      <c r="A6" s="11" t="s">
        <v>7</v>
      </c>
      <c r="B6" s="34">
        <f>261+237-393</f>
        <v>105</v>
      </c>
      <c r="C6" s="34">
        <f>266+240-401</f>
        <v>105</v>
      </c>
      <c r="D6" s="34">
        <v>107</v>
      </c>
      <c r="E6" s="34">
        <f>271+244-401</f>
        <v>114</v>
      </c>
      <c r="F6" s="30">
        <v>114</v>
      </c>
      <c r="G6" s="34">
        <f>532-415</f>
        <v>117</v>
      </c>
      <c r="H6" s="35">
        <f>538-420</f>
        <v>118</v>
      </c>
      <c r="I6" s="35">
        <f>542-424</f>
        <v>118</v>
      </c>
      <c r="J6" s="35">
        <f>546-427</f>
        <v>119</v>
      </c>
      <c r="K6" s="35">
        <f>345+250-438</f>
        <v>157</v>
      </c>
      <c r="L6" s="35">
        <f>578-L5</f>
        <v>173</v>
      </c>
      <c r="M6" s="35">
        <f>617-M5</f>
        <v>188</v>
      </c>
      <c r="N6" s="35">
        <f t="shared" si="1"/>
        <v>188</v>
      </c>
      <c r="O6" s="3"/>
    </row>
    <row r="7" spans="1:15 16384:16384" x14ac:dyDescent="0.2">
      <c r="A7" s="11" t="s">
        <v>8</v>
      </c>
      <c r="B7" s="34">
        <f>34+29</f>
        <v>63</v>
      </c>
      <c r="C7" s="34">
        <f>34+29</f>
        <v>63</v>
      </c>
      <c r="D7" s="34">
        <f>34+29</f>
        <v>63</v>
      </c>
      <c r="E7" s="34">
        <f t="shared" ref="E7:K7" si="2">37+29</f>
        <v>66</v>
      </c>
      <c r="F7" s="30">
        <f t="shared" si="2"/>
        <v>66</v>
      </c>
      <c r="G7" s="34">
        <f t="shared" si="2"/>
        <v>66</v>
      </c>
      <c r="H7" s="35">
        <f t="shared" si="2"/>
        <v>66</v>
      </c>
      <c r="I7" s="35">
        <f t="shared" si="2"/>
        <v>66</v>
      </c>
      <c r="J7" s="35">
        <f t="shared" si="2"/>
        <v>66</v>
      </c>
      <c r="K7" s="35">
        <f t="shared" si="2"/>
        <v>66</v>
      </c>
      <c r="L7" s="35">
        <f>40+29</f>
        <v>69</v>
      </c>
      <c r="M7" s="35">
        <f>41+28</f>
        <v>69</v>
      </c>
      <c r="N7" s="35">
        <f t="shared" si="1"/>
        <v>69</v>
      </c>
      <c r="O7" s="3"/>
    </row>
    <row r="8" spans="1:15 16384:16384" x14ac:dyDescent="0.2">
      <c r="A8" s="11" t="s">
        <v>9</v>
      </c>
      <c r="B8" s="34">
        <f>34+30</f>
        <v>64</v>
      </c>
      <c r="C8" s="34">
        <f>34+30</f>
        <v>64</v>
      </c>
      <c r="D8" s="34">
        <f>30+34</f>
        <v>64</v>
      </c>
      <c r="E8" s="34">
        <f>34+30</f>
        <v>64</v>
      </c>
      <c r="F8" s="30">
        <f>35+30</f>
        <v>65</v>
      </c>
      <c r="G8" s="34">
        <f>35+31</f>
        <v>66</v>
      </c>
      <c r="H8" s="35">
        <f>35+31</f>
        <v>66</v>
      </c>
      <c r="I8" s="35">
        <f>35+31</f>
        <v>66</v>
      </c>
      <c r="J8" s="35">
        <f>35+31</f>
        <v>66</v>
      </c>
      <c r="K8" s="35">
        <f>36+31</f>
        <v>67</v>
      </c>
      <c r="L8" s="35">
        <f>36+31</f>
        <v>67</v>
      </c>
      <c r="M8" s="35">
        <f>36+31</f>
        <v>67</v>
      </c>
      <c r="N8" s="35">
        <f t="shared" si="1"/>
        <v>67</v>
      </c>
      <c r="O8" s="3"/>
    </row>
    <row r="9" spans="1:15 16384:16384" x14ac:dyDescent="0.2">
      <c r="A9" s="11" t="s">
        <v>10</v>
      </c>
      <c r="B9" s="34">
        <f>45+52</f>
        <v>97</v>
      </c>
      <c r="C9" s="34">
        <f>45+52</f>
        <v>97</v>
      </c>
      <c r="D9" s="34">
        <f>53+46</f>
        <v>99</v>
      </c>
      <c r="E9" s="34">
        <f>46+50</f>
        <v>96</v>
      </c>
      <c r="F9" s="30">
        <f>46+53</f>
        <v>99</v>
      </c>
      <c r="G9" s="34">
        <f>46+53</f>
        <v>99</v>
      </c>
      <c r="H9" s="35">
        <f>49+53</f>
        <v>102</v>
      </c>
      <c r="I9" s="35">
        <f>47+53</f>
        <v>100</v>
      </c>
      <c r="J9" s="35">
        <f>47+53</f>
        <v>100</v>
      </c>
      <c r="K9" s="35">
        <f>48+53</f>
        <v>101</v>
      </c>
      <c r="L9" s="35">
        <f>48+56</f>
        <v>104</v>
      </c>
      <c r="M9" s="35">
        <f>54+56</f>
        <v>110</v>
      </c>
      <c r="N9" s="35">
        <f t="shared" si="1"/>
        <v>110</v>
      </c>
    </row>
    <row r="10" spans="1:15 16384:16384" x14ac:dyDescent="0.2">
      <c r="A10" s="11" t="s">
        <v>11</v>
      </c>
      <c r="B10" s="34">
        <f>20+21</f>
        <v>41</v>
      </c>
      <c r="C10" s="34">
        <f>20+21</f>
        <v>41</v>
      </c>
      <c r="D10" s="34">
        <f>20+21</f>
        <v>41</v>
      </c>
      <c r="E10" s="34">
        <f>20+21</f>
        <v>41</v>
      </c>
      <c r="F10" s="30">
        <f t="shared" ref="F10:K10" si="3">20+22</f>
        <v>42</v>
      </c>
      <c r="G10" s="34">
        <f t="shared" si="3"/>
        <v>42</v>
      </c>
      <c r="H10" s="35">
        <f t="shared" si="3"/>
        <v>42</v>
      </c>
      <c r="I10" s="35">
        <f t="shared" si="3"/>
        <v>42</v>
      </c>
      <c r="J10" s="35">
        <f t="shared" si="3"/>
        <v>42</v>
      </c>
      <c r="K10" s="35">
        <f t="shared" si="3"/>
        <v>42</v>
      </c>
      <c r="L10" s="35">
        <f>20+24</f>
        <v>44</v>
      </c>
      <c r="M10" s="35">
        <f>22+24</f>
        <v>46</v>
      </c>
      <c r="N10" s="35">
        <f t="shared" si="1"/>
        <v>46</v>
      </c>
    </row>
    <row r="11" spans="1:15 16384:16384" x14ac:dyDescent="0.2">
      <c r="A11" s="11" t="s">
        <v>12</v>
      </c>
      <c r="B11" s="34">
        <f>35+40</f>
        <v>75</v>
      </c>
      <c r="C11" s="34">
        <f>35+41</f>
        <v>76</v>
      </c>
      <c r="D11" s="34">
        <f>35+41</f>
        <v>76</v>
      </c>
      <c r="E11" s="34">
        <f>36+54</f>
        <v>90</v>
      </c>
      <c r="F11" s="30">
        <f>39+44</f>
        <v>83</v>
      </c>
      <c r="G11" s="34">
        <f>40+44</f>
        <v>84</v>
      </c>
      <c r="H11" s="35">
        <f>40+44</f>
        <v>84</v>
      </c>
      <c r="I11" s="35">
        <f>40+44</f>
        <v>84</v>
      </c>
      <c r="J11" s="35">
        <f>41+44</f>
        <v>85</v>
      </c>
      <c r="K11" s="35">
        <f>42+46</f>
        <v>88</v>
      </c>
      <c r="L11" s="35">
        <f>42+46</f>
        <v>88</v>
      </c>
      <c r="M11" s="35">
        <f>42+46</f>
        <v>88</v>
      </c>
      <c r="N11" s="35">
        <f t="shared" si="1"/>
        <v>88</v>
      </c>
    </row>
    <row r="12" spans="1:15 16384:16384" x14ac:dyDescent="0.2">
      <c r="A12" s="11" t="s">
        <v>13</v>
      </c>
      <c r="B12" s="34">
        <f>27+30</f>
        <v>57</v>
      </c>
      <c r="C12" s="34">
        <f>31+29</f>
        <v>60</v>
      </c>
      <c r="D12" s="34">
        <f>29+31</f>
        <v>60</v>
      </c>
      <c r="E12" s="34">
        <f>30+29</f>
        <v>59</v>
      </c>
      <c r="F12" s="30">
        <f>30+29</f>
        <v>59</v>
      </c>
      <c r="G12" s="34">
        <f>30+29</f>
        <v>59</v>
      </c>
      <c r="H12" s="35">
        <f>30+29</f>
        <v>59</v>
      </c>
      <c r="I12" s="35">
        <f>32+31</f>
        <v>63</v>
      </c>
      <c r="J12" s="35">
        <f>34+31</f>
        <v>65</v>
      </c>
      <c r="K12" s="35">
        <f>34+31</f>
        <v>65</v>
      </c>
      <c r="L12" s="35">
        <f>34+33</f>
        <v>67</v>
      </c>
      <c r="M12" s="35">
        <f>46+32</f>
        <v>78</v>
      </c>
      <c r="N12" s="35">
        <f t="shared" si="1"/>
        <v>78</v>
      </c>
    </row>
    <row r="13" spans="1:15 16384:16384" x14ac:dyDescent="0.2">
      <c r="A13" s="11" t="s">
        <v>14</v>
      </c>
      <c r="B13" s="34">
        <f>57+61</f>
        <v>118</v>
      </c>
      <c r="C13" s="34">
        <f>58+63</f>
        <v>121</v>
      </c>
      <c r="D13" s="34">
        <f>63+58</f>
        <v>121</v>
      </c>
      <c r="E13" s="34">
        <f>58+58</f>
        <v>116</v>
      </c>
      <c r="F13" s="30">
        <f>59+62</f>
        <v>121</v>
      </c>
      <c r="G13" s="34">
        <f>61+62</f>
        <v>123</v>
      </c>
      <c r="H13" s="35">
        <f>61+62</f>
        <v>123</v>
      </c>
      <c r="I13" s="35">
        <f>65+65</f>
        <v>130</v>
      </c>
      <c r="J13" s="35">
        <f>66+65</f>
        <v>131</v>
      </c>
      <c r="K13" s="35">
        <f>66+65</f>
        <v>131</v>
      </c>
      <c r="L13" s="35">
        <f>67+65</f>
        <v>132</v>
      </c>
      <c r="M13" s="35">
        <f>73+65</f>
        <v>138</v>
      </c>
      <c r="N13" s="35">
        <f t="shared" si="1"/>
        <v>138</v>
      </c>
    </row>
    <row r="14" spans="1:15 16384:16384" x14ac:dyDescent="0.2">
      <c r="A14" s="11" t="s">
        <v>15</v>
      </c>
      <c r="B14" s="34">
        <f>26+22</f>
        <v>48</v>
      </c>
      <c r="C14" s="34">
        <f>26+23</f>
        <v>49</v>
      </c>
      <c r="D14" s="34">
        <f>23+26</f>
        <v>49</v>
      </c>
      <c r="E14" s="34">
        <f>26+23</f>
        <v>49</v>
      </c>
      <c r="F14" s="30">
        <f>26+23</f>
        <v>49</v>
      </c>
      <c r="G14" s="34">
        <f>28+23</f>
        <v>51</v>
      </c>
      <c r="H14" s="35">
        <f>28+24</f>
        <v>52</v>
      </c>
      <c r="I14" s="35">
        <f>28+24</f>
        <v>52</v>
      </c>
      <c r="J14" s="35">
        <f>30+25</f>
        <v>55</v>
      </c>
      <c r="K14" s="35">
        <f>30+25</f>
        <v>55</v>
      </c>
      <c r="L14" s="35">
        <f>30+25</f>
        <v>55</v>
      </c>
      <c r="M14" s="35">
        <f>30+24</f>
        <v>54</v>
      </c>
      <c r="N14" s="35">
        <f t="shared" si="1"/>
        <v>54</v>
      </c>
    </row>
    <row r="15" spans="1:15 16384:16384" x14ac:dyDescent="0.2">
      <c r="A15" s="11" t="s">
        <v>16</v>
      </c>
      <c r="B15" s="34">
        <f>20+9</f>
        <v>29</v>
      </c>
      <c r="C15" s="34">
        <f>9+20</f>
        <v>29</v>
      </c>
      <c r="D15" s="34">
        <f>20+11</f>
        <v>31</v>
      </c>
      <c r="E15" s="34">
        <f>11+20</f>
        <v>31</v>
      </c>
      <c r="F15" s="30">
        <f>11+20</f>
        <v>31</v>
      </c>
      <c r="G15" s="34">
        <f>11+20</f>
        <v>31</v>
      </c>
      <c r="H15" s="35">
        <f>11+20</f>
        <v>31</v>
      </c>
      <c r="I15" s="35">
        <f>11+20</f>
        <v>31</v>
      </c>
      <c r="J15" s="35">
        <f>12+19</f>
        <v>31</v>
      </c>
      <c r="K15" s="35">
        <f>12+18</f>
        <v>30</v>
      </c>
      <c r="L15" s="35">
        <f>12+24</f>
        <v>36</v>
      </c>
      <c r="M15" s="35">
        <f>12+23</f>
        <v>35</v>
      </c>
      <c r="N15" s="35">
        <f t="shared" si="1"/>
        <v>35</v>
      </c>
    </row>
    <row r="16" spans="1:15 16384:16384" s="10" customFormat="1" x14ac:dyDescent="0.2">
      <c r="A16" s="18" t="s">
        <v>17</v>
      </c>
      <c r="B16" s="33">
        <f t="shared" ref="B16:L16" si="4">SUM(B17:B27)</f>
        <v>11717</v>
      </c>
      <c r="C16" s="33">
        <f t="shared" si="4"/>
        <v>11606</v>
      </c>
      <c r="D16" s="33">
        <f t="shared" si="4"/>
        <v>12051</v>
      </c>
      <c r="E16" s="33">
        <f t="shared" si="4"/>
        <v>12100</v>
      </c>
      <c r="F16" s="33">
        <f t="shared" si="4"/>
        <v>12216</v>
      </c>
      <c r="G16" s="33">
        <f t="shared" si="4"/>
        <v>12486</v>
      </c>
      <c r="H16" s="33">
        <f t="shared" si="4"/>
        <v>12443</v>
      </c>
      <c r="I16" s="33">
        <f t="shared" si="4"/>
        <v>12359</v>
      </c>
      <c r="J16" s="33">
        <f t="shared" si="4"/>
        <v>13146</v>
      </c>
      <c r="K16" s="33">
        <f t="shared" si="4"/>
        <v>13340</v>
      </c>
      <c r="L16" s="33">
        <f t="shared" si="4"/>
        <v>13443</v>
      </c>
      <c r="M16" s="33">
        <f>SUM(M17:M27)</f>
        <v>14688</v>
      </c>
      <c r="N16" s="33">
        <f t="shared" si="1"/>
        <v>14688</v>
      </c>
      <c r="XFD16" s="12">
        <f>SUM(B16:XFC16)</f>
        <v>166283</v>
      </c>
    </row>
    <row r="17" spans="1:14" x14ac:dyDescent="0.2">
      <c r="A17" s="11" t="s">
        <v>6</v>
      </c>
      <c r="B17" s="34">
        <f>2898+2859</f>
        <v>5757</v>
      </c>
      <c r="C17" s="34">
        <f>2891+2816</f>
        <v>5707</v>
      </c>
      <c r="D17" s="34">
        <v>5859</v>
      </c>
      <c r="E17" s="34">
        <f>2871+2895</f>
        <v>5766</v>
      </c>
      <c r="F17" s="34">
        <f>2811+2929</f>
        <v>5740</v>
      </c>
      <c r="G17" s="34">
        <f>2969+2926</f>
        <v>5895</v>
      </c>
      <c r="H17" s="35">
        <f>3299+2517</f>
        <v>5816</v>
      </c>
      <c r="I17" s="35">
        <f>3256+2561</f>
        <v>5817</v>
      </c>
      <c r="J17" s="35">
        <f>3455+2675</f>
        <v>6130</v>
      </c>
      <c r="K17" s="35">
        <f>3521+2680</f>
        <v>6201</v>
      </c>
      <c r="L17" s="35">
        <f>3536+3118</f>
        <v>6654</v>
      </c>
      <c r="M17" s="35">
        <f>3732+3444</f>
        <v>7176</v>
      </c>
      <c r="N17" s="35">
        <f t="shared" si="1"/>
        <v>7176</v>
      </c>
    </row>
    <row r="18" spans="1:14" x14ac:dyDescent="0.2">
      <c r="A18" s="11" t="s">
        <v>7</v>
      </c>
      <c r="B18" s="34">
        <f>3654+3492-B17</f>
        <v>1389</v>
      </c>
      <c r="C18" s="34">
        <f>3652+3417-5707</f>
        <v>1362</v>
      </c>
      <c r="D18" s="34">
        <f>7259-5859</f>
        <v>1400</v>
      </c>
      <c r="E18" s="34">
        <f>3655+3556-5766</f>
        <v>1445</v>
      </c>
      <c r="F18" s="34">
        <v>1463</v>
      </c>
      <c r="G18" s="34">
        <f>7422-G17</f>
        <v>1527</v>
      </c>
      <c r="H18" s="35">
        <v>1550</v>
      </c>
      <c r="I18" s="35">
        <f>7354-I17</f>
        <v>1537</v>
      </c>
      <c r="J18" s="35">
        <f>7764-6130</f>
        <v>1634</v>
      </c>
      <c r="K18" s="35">
        <f>7875-6201</f>
        <v>1674</v>
      </c>
      <c r="L18" s="35">
        <f>8287-L17</f>
        <v>1633</v>
      </c>
      <c r="M18" s="35">
        <v>1750</v>
      </c>
      <c r="N18" s="35">
        <f t="shared" si="1"/>
        <v>1750</v>
      </c>
    </row>
    <row r="19" spans="1:14" x14ac:dyDescent="0.2">
      <c r="A19" s="11" t="s">
        <v>8</v>
      </c>
      <c r="B19" s="34">
        <f>237+313</f>
        <v>550</v>
      </c>
      <c r="C19" s="34">
        <f>243+306</f>
        <v>549</v>
      </c>
      <c r="D19" s="34">
        <v>574</v>
      </c>
      <c r="E19" s="34">
        <f>245+337</f>
        <v>582</v>
      </c>
      <c r="F19" s="34">
        <f>245+342</f>
        <v>587</v>
      </c>
      <c r="G19" s="34">
        <f>268+345</f>
        <v>613</v>
      </c>
      <c r="H19" s="35">
        <f>331+263</f>
        <v>594</v>
      </c>
      <c r="I19" s="35">
        <f>326+273</f>
        <v>599</v>
      </c>
      <c r="J19" s="35">
        <f>347+285</f>
        <v>632</v>
      </c>
      <c r="K19" s="35">
        <f>349+286</f>
        <v>635</v>
      </c>
      <c r="L19" s="35">
        <f>361+292</f>
        <v>653</v>
      </c>
      <c r="M19" s="35">
        <f>387+341</f>
        <v>728</v>
      </c>
      <c r="N19" s="35">
        <f t="shared" si="1"/>
        <v>728</v>
      </c>
    </row>
    <row r="20" spans="1:14" x14ac:dyDescent="0.2">
      <c r="A20" s="11" t="s">
        <v>9</v>
      </c>
      <c r="B20" s="34">
        <f>378+250</f>
        <v>628</v>
      </c>
      <c r="C20" s="34">
        <f>371+255</f>
        <v>626</v>
      </c>
      <c r="D20" s="34">
        <v>651</v>
      </c>
      <c r="E20" s="34">
        <f>379+280</f>
        <v>659</v>
      </c>
      <c r="F20" s="34">
        <f>377+282</f>
        <v>659</v>
      </c>
      <c r="G20" s="34">
        <f>385+283</f>
        <v>668</v>
      </c>
      <c r="H20" s="35">
        <f>412+226</f>
        <v>638</v>
      </c>
      <c r="I20" s="35">
        <f>376+248</f>
        <v>624</v>
      </c>
      <c r="J20" s="35">
        <f>429+249</f>
        <v>678</v>
      </c>
      <c r="K20" s="35">
        <f>421+250</f>
        <v>671</v>
      </c>
      <c r="L20" s="35">
        <f>410+164</f>
        <v>574</v>
      </c>
      <c r="M20" s="35">
        <f>468+196</f>
        <v>664</v>
      </c>
      <c r="N20" s="35">
        <f t="shared" si="1"/>
        <v>664</v>
      </c>
    </row>
    <row r="21" spans="1:14" x14ac:dyDescent="0.2">
      <c r="A21" s="11" t="s">
        <v>10</v>
      </c>
      <c r="B21" s="34">
        <f>593+416</f>
        <v>1009</v>
      </c>
      <c r="C21" s="34">
        <f>562+412</f>
        <v>974</v>
      </c>
      <c r="D21" s="34">
        <v>1020</v>
      </c>
      <c r="E21" s="34">
        <f>575+438</f>
        <v>1013</v>
      </c>
      <c r="F21" s="34">
        <f>589+444</f>
        <v>1033</v>
      </c>
      <c r="G21" s="34">
        <f>594+449</f>
        <v>1043</v>
      </c>
      <c r="H21" s="35">
        <f>659+380</f>
        <v>1039</v>
      </c>
      <c r="I21" s="35">
        <f>640+402</f>
        <v>1042</v>
      </c>
      <c r="J21" s="35">
        <f>720+426</f>
        <v>1146</v>
      </c>
      <c r="K21" s="35">
        <f>683+412</f>
        <v>1095</v>
      </c>
      <c r="L21" s="35">
        <f>680+438</f>
        <v>1118</v>
      </c>
      <c r="M21" s="35">
        <f>717+490</f>
        <v>1207</v>
      </c>
      <c r="N21" s="35">
        <f t="shared" si="1"/>
        <v>1207</v>
      </c>
    </row>
    <row r="22" spans="1:14" x14ac:dyDescent="0.2">
      <c r="A22" s="11" t="s">
        <v>11</v>
      </c>
      <c r="B22" s="34">
        <f>174+118</f>
        <v>292</v>
      </c>
      <c r="C22" s="34">
        <f>173+118</f>
        <v>291</v>
      </c>
      <c r="D22" s="34">
        <v>322</v>
      </c>
      <c r="E22" s="34">
        <f>189+131</f>
        <v>320</v>
      </c>
      <c r="F22" s="34">
        <f>244+137</f>
        <v>381</v>
      </c>
      <c r="G22" s="34">
        <f>197+136</f>
        <v>333</v>
      </c>
      <c r="H22" s="35">
        <f>226+108</f>
        <v>334</v>
      </c>
      <c r="I22" s="35">
        <f>220+105</f>
        <v>325</v>
      </c>
      <c r="J22" s="35">
        <f>242+112</f>
        <v>354</v>
      </c>
      <c r="K22" s="35">
        <f>245+111</f>
        <v>356</v>
      </c>
      <c r="L22" s="35">
        <f>247+66</f>
        <v>313</v>
      </c>
      <c r="M22" s="35">
        <f>266+82</f>
        <v>348</v>
      </c>
      <c r="N22" s="35">
        <f t="shared" si="1"/>
        <v>348</v>
      </c>
    </row>
    <row r="23" spans="1:14" x14ac:dyDescent="0.2">
      <c r="A23" s="11" t="s">
        <v>12</v>
      </c>
      <c r="B23" s="42">
        <f>361+199</f>
        <v>560</v>
      </c>
      <c r="C23" s="42">
        <f>345+198</f>
        <v>543</v>
      </c>
      <c r="D23" s="42">
        <v>584</v>
      </c>
      <c r="E23" s="42">
        <f>374+235</f>
        <v>609</v>
      </c>
      <c r="F23" s="42">
        <f>393+245</f>
        <v>638</v>
      </c>
      <c r="G23" s="42">
        <f>394+245</f>
        <v>639</v>
      </c>
      <c r="H23" s="43">
        <f>450+197</f>
        <v>647</v>
      </c>
      <c r="I23" s="43">
        <f>434+223</f>
        <v>657</v>
      </c>
      <c r="J23" s="43">
        <f>431+238</f>
        <v>669</v>
      </c>
      <c r="K23" s="43">
        <f>482+229</f>
        <v>711</v>
      </c>
      <c r="L23" s="43">
        <f>483+182</f>
        <v>665</v>
      </c>
      <c r="M23" s="43">
        <f>536+211</f>
        <v>747</v>
      </c>
      <c r="N23" s="43">
        <f t="shared" si="1"/>
        <v>747</v>
      </c>
    </row>
    <row r="24" spans="1:14" x14ac:dyDescent="0.2">
      <c r="A24" s="11" t="s">
        <v>13</v>
      </c>
      <c r="B24" s="42">
        <f>198+96</f>
        <v>294</v>
      </c>
      <c r="C24" s="42">
        <f>200+99</f>
        <v>299</v>
      </c>
      <c r="D24" s="42">
        <v>308</v>
      </c>
      <c r="E24" s="42">
        <f>204+129</f>
        <v>333</v>
      </c>
      <c r="F24" s="42">
        <f>202+131</f>
        <v>333</v>
      </c>
      <c r="G24" s="42">
        <f>231+134</f>
        <v>365</v>
      </c>
      <c r="H24" s="43">
        <f>254+126</f>
        <v>380</v>
      </c>
      <c r="I24" s="43">
        <f>235+135</f>
        <v>370</v>
      </c>
      <c r="J24" s="43">
        <f>270+139</f>
        <v>409</v>
      </c>
      <c r="K24" s="43">
        <f>276+117</f>
        <v>393</v>
      </c>
      <c r="L24" s="43">
        <f>277+103</f>
        <v>380</v>
      </c>
      <c r="M24" s="43">
        <f>308+124</f>
        <v>432</v>
      </c>
      <c r="N24" s="43">
        <f t="shared" si="1"/>
        <v>432</v>
      </c>
    </row>
    <row r="25" spans="1:14" x14ac:dyDescent="0.2">
      <c r="A25" s="11" t="s">
        <v>14</v>
      </c>
      <c r="B25" s="42">
        <f>510+328</f>
        <v>838</v>
      </c>
      <c r="C25" s="42">
        <f>494+327</f>
        <v>821</v>
      </c>
      <c r="D25" s="42">
        <f>530+352</f>
        <v>882</v>
      </c>
      <c r="E25" s="42">
        <f>528+372</f>
        <v>900</v>
      </c>
      <c r="F25" s="42">
        <f>527+380</f>
        <v>907</v>
      </c>
      <c r="G25" s="42">
        <f>568+382</f>
        <v>950</v>
      </c>
      <c r="H25" s="43">
        <f>659+296</f>
        <v>955</v>
      </c>
      <c r="I25" s="43">
        <f>652+327</f>
        <v>979</v>
      </c>
      <c r="J25" s="43">
        <f>696+317</f>
        <v>1013</v>
      </c>
      <c r="K25" s="43">
        <f>707+321</f>
        <v>1028</v>
      </c>
      <c r="L25" s="43">
        <f>715+292</f>
        <v>1007</v>
      </c>
      <c r="M25" s="43">
        <f>775+331</f>
        <v>1106</v>
      </c>
      <c r="N25" s="43">
        <f t="shared" si="1"/>
        <v>1106</v>
      </c>
    </row>
    <row r="26" spans="1:14" x14ac:dyDescent="0.2">
      <c r="A26" s="11" t="s">
        <v>15</v>
      </c>
      <c r="B26" s="42">
        <f>151+102</f>
        <v>253</v>
      </c>
      <c r="C26" s="42">
        <f>143+101</f>
        <v>244</v>
      </c>
      <c r="D26" s="42">
        <v>265</v>
      </c>
      <c r="E26" s="42">
        <f>163+105</f>
        <v>268</v>
      </c>
      <c r="F26" s="42">
        <f>150+107</f>
        <v>257</v>
      </c>
      <c r="G26" s="42">
        <f>162+108</f>
        <v>270</v>
      </c>
      <c r="H26" s="43">
        <f>171+94</f>
        <v>265</v>
      </c>
      <c r="I26" s="43">
        <f>151+91</f>
        <v>242</v>
      </c>
      <c r="J26" s="43">
        <f>180+100</f>
        <v>280</v>
      </c>
      <c r="K26" s="43">
        <f>185+131</f>
        <v>316</v>
      </c>
      <c r="L26" s="43">
        <f>176+91</f>
        <v>267</v>
      </c>
      <c r="M26" s="43">
        <f>212+117</f>
        <v>329</v>
      </c>
      <c r="N26" s="43">
        <f t="shared" si="1"/>
        <v>329</v>
      </c>
    </row>
    <row r="27" spans="1:14" x14ac:dyDescent="0.2">
      <c r="A27" s="11" t="s">
        <v>16</v>
      </c>
      <c r="B27" s="42">
        <f>79+68</f>
        <v>147</v>
      </c>
      <c r="C27" s="42">
        <f>123+67</f>
        <v>190</v>
      </c>
      <c r="D27" s="42">
        <f>119+67</f>
        <v>186</v>
      </c>
      <c r="E27" s="42">
        <f>130+75</f>
        <v>205</v>
      </c>
      <c r="F27" s="42">
        <f>140+78</f>
        <v>218</v>
      </c>
      <c r="G27" s="42">
        <f>104+79</f>
        <v>183</v>
      </c>
      <c r="H27" s="43">
        <f>153+72</f>
        <v>225</v>
      </c>
      <c r="I27" s="43">
        <f>94+73</f>
        <v>167</v>
      </c>
      <c r="J27" s="43">
        <f>122+79</f>
        <v>201</v>
      </c>
      <c r="K27" s="43">
        <f>184+76</f>
        <v>260</v>
      </c>
      <c r="L27" s="43">
        <f>118+61</f>
        <v>179</v>
      </c>
      <c r="M27" s="43">
        <v>201</v>
      </c>
      <c r="N27" s="43">
        <f t="shared" si="1"/>
        <v>201</v>
      </c>
    </row>
    <row r="28" spans="1:14" x14ac:dyDescent="0.2">
      <c r="A28" s="8" t="s">
        <v>24</v>
      </c>
      <c r="B28" s="44">
        <f>+B29+B30</f>
        <v>3205887</v>
      </c>
      <c r="C28" s="44">
        <f t="shared" ref="C28:M28" si="5">+C29+C30</f>
        <v>3060515</v>
      </c>
      <c r="D28" s="44">
        <f t="shared" si="5"/>
        <v>3167853</v>
      </c>
      <c r="E28" s="44">
        <f t="shared" si="5"/>
        <v>3316955</v>
      </c>
      <c r="F28" s="44">
        <f t="shared" si="5"/>
        <v>3312360</v>
      </c>
      <c r="G28" s="44">
        <f t="shared" si="5"/>
        <v>3347450</v>
      </c>
      <c r="H28" s="44">
        <f t="shared" si="5"/>
        <v>3388405</v>
      </c>
      <c r="I28" s="44">
        <f t="shared" si="5"/>
        <v>3356635</v>
      </c>
      <c r="J28" s="44">
        <f t="shared" si="5"/>
        <v>3610371</v>
      </c>
      <c r="K28" s="44">
        <f t="shared" si="5"/>
        <v>3685896</v>
      </c>
      <c r="L28" s="44">
        <f t="shared" si="5"/>
        <v>3534119</v>
      </c>
      <c r="M28" s="44">
        <f t="shared" si="5"/>
        <v>3577102</v>
      </c>
      <c r="N28" s="44">
        <f>SUM(M28+0)</f>
        <v>3577102</v>
      </c>
    </row>
    <row r="29" spans="1:14" x14ac:dyDescent="0.2">
      <c r="A29" s="13" t="s">
        <v>25</v>
      </c>
      <c r="B29" s="42">
        <v>2996957</v>
      </c>
      <c r="C29" s="42">
        <v>2944973</v>
      </c>
      <c r="D29" s="42">
        <v>3051703</v>
      </c>
      <c r="E29" s="42">
        <v>3193388</v>
      </c>
      <c r="F29" s="42">
        <v>3181696</v>
      </c>
      <c r="G29" s="42">
        <v>3216143</v>
      </c>
      <c r="H29" s="43">
        <v>3257991</v>
      </c>
      <c r="I29" s="43">
        <v>3243511</v>
      </c>
      <c r="J29" s="43">
        <v>3481041</v>
      </c>
      <c r="K29" s="43">
        <v>3556363</v>
      </c>
      <c r="L29" s="43">
        <v>3418999</v>
      </c>
      <c r="M29" s="43">
        <v>3461568</v>
      </c>
      <c r="N29" s="43">
        <f>SUM(M29+0)</f>
        <v>3461568</v>
      </c>
    </row>
    <row r="30" spans="1:14" x14ac:dyDescent="0.2">
      <c r="A30" s="13" t="s">
        <v>26</v>
      </c>
      <c r="B30" s="42">
        <v>208930</v>
      </c>
      <c r="C30" s="42">
        <v>115542</v>
      </c>
      <c r="D30" s="42">
        <v>116150</v>
      </c>
      <c r="E30" s="42">
        <v>123567</v>
      </c>
      <c r="F30" s="42">
        <v>130664</v>
      </c>
      <c r="G30" s="42">
        <v>131307</v>
      </c>
      <c r="H30" s="43">
        <v>130414</v>
      </c>
      <c r="I30" s="43">
        <v>113124</v>
      </c>
      <c r="J30" s="43">
        <v>129330</v>
      </c>
      <c r="K30" s="43">
        <v>129533</v>
      </c>
      <c r="L30" s="43">
        <v>115120</v>
      </c>
      <c r="M30" s="43">
        <v>115534</v>
      </c>
      <c r="N30" s="43">
        <f>SUM(M30+0)</f>
        <v>115534</v>
      </c>
    </row>
    <row r="31" spans="1:14" x14ac:dyDescent="0.2">
      <c r="A31" s="8" t="s">
        <v>0</v>
      </c>
      <c r="B31" s="45">
        <f>+B32+B33+B34</f>
        <v>3005096.3258759091</v>
      </c>
      <c r="C31" s="45">
        <f>+C32+C33+C34</f>
        <v>2596169</v>
      </c>
      <c r="D31" s="45">
        <f>+D32+D33+D34</f>
        <v>2548881</v>
      </c>
      <c r="E31" s="45">
        <f t="shared" ref="E31:M31" si="6">+E32+E33+E34</f>
        <v>2580175</v>
      </c>
      <c r="F31" s="45">
        <f t="shared" si="6"/>
        <v>3296011</v>
      </c>
      <c r="G31" s="45">
        <f t="shared" si="6"/>
        <v>3294563</v>
      </c>
      <c r="H31" s="45">
        <f t="shared" si="6"/>
        <v>3410742</v>
      </c>
      <c r="I31" s="45">
        <f t="shared" si="6"/>
        <v>3391552</v>
      </c>
      <c r="J31" s="45">
        <f t="shared" si="6"/>
        <v>3417730</v>
      </c>
      <c r="K31" s="45">
        <f t="shared" si="6"/>
        <v>3422630</v>
      </c>
      <c r="L31" s="45">
        <f t="shared" si="6"/>
        <v>3443691</v>
      </c>
      <c r="M31" s="45">
        <f t="shared" si="6"/>
        <v>3425346</v>
      </c>
      <c r="N31" s="44">
        <f>SUM(M31+0)</f>
        <v>3425346</v>
      </c>
    </row>
    <row r="32" spans="1:14" x14ac:dyDescent="0.2">
      <c r="A32" s="13" t="s">
        <v>1</v>
      </c>
      <c r="B32" s="42">
        <v>2855685.3258759091</v>
      </c>
      <c r="C32" s="41">
        <v>2430810</v>
      </c>
      <c r="D32" s="41">
        <v>2384420</v>
      </c>
      <c r="E32" s="41">
        <v>2467784</v>
      </c>
      <c r="F32" s="41">
        <v>3169965</v>
      </c>
      <c r="G32" s="41">
        <v>3168524</v>
      </c>
      <c r="H32" s="41">
        <v>3281023</v>
      </c>
      <c r="I32" s="41">
        <v>3265912</v>
      </c>
      <c r="J32" s="41">
        <v>3283597</v>
      </c>
      <c r="K32" s="41">
        <v>3295379</v>
      </c>
      <c r="L32" s="41">
        <v>3330350</v>
      </c>
      <c r="M32" s="41">
        <v>3306154</v>
      </c>
      <c r="N32" s="43">
        <f t="shared" ref="N32:N35" si="7">SUM(M32+0)</f>
        <v>3306154</v>
      </c>
    </row>
    <row r="33" spans="1:125" x14ac:dyDescent="0.2">
      <c r="A33" s="13" t="s">
        <v>2</v>
      </c>
      <c r="B33" s="42">
        <v>123682</v>
      </c>
      <c r="C33" s="41">
        <v>116443</v>
      </c>
      <c r="D33" s="41">
        <v>123744</v>
      </c>
      <c r="E33" s="41">
        <v>87833</v>
      </c>
      <c r="F33" s="41">
        <v>97643.000000000015</v>
      </c>
      <c r="G33" s="41">
        <v>97768.000000000015</v>
      </c>
      <c r="H33" s="41">
        <v>100576.00000000001</v>
      </c>
      <c r="I33" s="41">
        <v>97301.000000000015</v>
      </c>
      <c r="J33" s="41">
        <v>105419.00000000001</v>
      </c>
      <c r="K33" s="41">
        <v>99141.000000000015</v>
      </c>
      <c r="L33" s="41">
        <v>96004.000000000015</v>
      </c>
      <c r="M33" s="41">
        <v>97324.000000000015</v>
      </c>
      <c r="N33" s="43">
        <f t="shared" si="7"/>
        <v>97324.000000000015</v>
      </c>
    </row>
    <row r="34" spans="1:125" x14ac:dyDescent="0.2">
      <c r="A34" s="13" t="s">
        <v>23</v>
      </c>
      <c r="B34" s="42">
        <v>25729</v>
      </c>
      <c r="C34" s="41">
        <v>48916</v>
      </c>
      <c r="D34" s="41">
        <v>40717</v>
      </c>
      <c r="E34" s="41">
        <v>24558</v>
      </c>
      <c r="F34" s="41">
        <v>28403</v>
      </c>
      <c r="G34" s="41">
        <v>28271</v>
      </c>
      <c r="H34" s="41">
        <v>29143</v>
      </c>
      <c r="I34" s="41">
        <v>28339</v>
      </c>
      <c r="J34" s="41">
        <v>28714</v>
      </c>
      <c r="K34" s="41">
        <v>28110</v>
      </c>
      <c r="L34" s="41">
        <v>17337</v>
      </c>
      <c r="M34" s="41">
        <v>21868</v>
      </c>
      <c r="N34" s="43">
        <f t="shared" si="7"/>
        <v>21868</v>
      </c>
    </row>
    <row r="35" spans="1:125" x14ac:dyDescent="0.2">
      <c r="A35" s="13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3">
        <f t="shared" si="7"/>
        <v>0</v>
      </c>
    </row>
    <row r="36" spans="1:125" x14ac:dyDescent="0.2">
      <c r="A36" s="14" t="s">
        <v>21</v>
      </c>
      <c r="B36" s="45">
        <f>++B37+B39</f>
        <v>6419639</v>
      </c>
      <c r="C36" s="45">
        <f t="shared" ref="C36:M36" si="8">++C37+C39</f>
        <v>5488700</v>
      </c>
      <c r="D36" s="45">
        <f t="shared" si="8"/>
        <v>5931053</v>
      </c>
      <c r="E36" s="45">
        <f t="shared" si="8"/>
        <v>6660370</v>
      </c>
      <c r="F36" s="46">
        <f t="shared" si="8"/>
        <v>7139711</v>
      </c>
      <c r="G36" s="46">
        <f t="shared" si="8"/>
        <v>6844396</v>
      </c>
      <c r="H36" s="46">
        <f t="shared" si="8"/>
        <v>7345468</v>
      </c>
      <c r="I36" s="46">
        <f t="shared" si="8"/>
        <v>7486234</v>
      </c>
      <c r="J36" s="46">
        <f t="shared" si="8"/>
        <v>7290243</v>
      </c>
      <c r="K36" s="46">
        <f t="shared" si="8"/>
        <v>7459926</v>
      </c>
      <c r="L36" s="46">
        <f t="shared" si="8"/>
        <v>6989688</v>
      </c>
      <c r="M36" s="46">
        <f t="shared" si="8"/>
        <v>7746620</v>
      </c>
      <c r="N36" s="46">
        <f t="shared" ref="N36:N48" si="9">SUM(B36:M36)</f>
        <v>82802048</v>
      </c>
    </row>
    <row r="37" spans="1:125" s="22" customFormat="1" x14ac:dyDescent="0.2">
      <c r="A37" s="23" t="s">
        <v>19</v>
      </c>
      <c r="B37" s="47">
        <v>6388502</v>
      </c>
      <c r="C37" s="47">
        <v>5448314</v>
      </c>
      <c r="D37" s="47">
        <v>5885274</v>
      </c>
      <c r="E37" s="47">
        <v>6617616</v>
      </c>
      <c r="F37" s="47">
        <v>7097128</v>
      </c>
      <c r="G37" s="47">
        <v>6792874</v>
      </c>
      <c r="H37" s="47">
        <v>7289983</v>
      </c>
      <c r="I37" s="47">
        <v>7430543</v>
      </c>
      <c r="J37" s="47">
        <v>7226653</v>
      </c>
      <c r="K37" s="47">
        <v>7390741</v>
      </c>
      <c r="L37" s="47">
        <v>6923057</v>
      </c>
      <c r="M37" s="47">
        <v>7683834</v>
      </c>
      <c r="N37" s="47">
        <f t="shared" si="9"/>
        <v>82174519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</row>
    <row r="38" spans="1:125" s="22" customFormat="1" x14ac:dyDescent="0.2">
      <c r="A38" s="23" t="s">
        <v>18</v>
      </c>
      <c r="B38" s="47">
        <v>492530</v>
      </c>
      <c r="C38" s="47">
        <v>400736</v>
      </c>
      <c r="D38" s="47">
        <v>417079</v>
      </c>
      <c r="E38" s="47">
        <v>487091</v>
      </c>
      <c r="F38" s="47">
        <v>543017</v>
      </c>
      <c r="G38" s="47">
        <v>498047</v>
      </c>
      <c r="H38" s="47">
        <v>542034</v>
      </c>
      <c r="I38" s="47">
        <v>535209</v>
      </c>
      <c r="J38" s="47">
        <v>569495</v>
      </c>
      <c r="K38" s="47">
        <v>533801</v>
      </c>
      <c r="L38" s="47">
        <v>501848</v>
      </c>
      <c r="M38" s="47">
        <v>997157</v>
      </c>
      <c r="N38" s="47">
        <f t="shared" si="9"/>
        <v>6518044</v>
      </c>
      <c r="O38" s="38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</row>
    <row r="39" spans="1:125" s="22" customFormat="1" x14ac:dyDescent="0.2">
      <c r="A39" s="23" t="s">
        <v>20</v>
      </c>
      <c r="B39" s="47">
        <v>31137</v>
      </c>
      <c r="C39" s="47">
        <v>40386</v>
      </c>
      <c r="D39" s="47">
        <v>45779</v>
      </c>
      <c r="E39" s="47">
        <v>42754</v>
      </c>
      <c r="F39" s="47">
        <v>42583</v>
      </c>
      <c r="G39" s="47">
        <v>51522</v>
      </c>
      <c r="H39" s="47">
        <v>55485</v>
      </c>
      <c r="I39" s="47">
        <v>55691</v>
      </c>
      <c r="J39" s="47">
        <v>63590</v>
      </c>
      <c r="K39" s="47">
        <v>69185</v>
      </c>
      <c r="L39" s="47">
        <v>66631</v>
      </c>
      <c r="M39" s="47">
        <v>62786</v>
      </c>
      <c r="N39" s="47">
        <f t="shared" si="9"/>
        <v>627529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</row>
    <row r="40" spans="1:125" x14ac:dyDescent="0.2">
      <c r="A40" s="15"/>
      <c r="B40" s="42"/>
      <c r="C40" s="41"/>
      <c r="D40" s="41"/>
      <c r="E40" s="41"/>
      <c r="F40" s="41"/>
      <c r="G40" s="41"/>
      <c r="H40" s="41"/>
      <c r="I40" s="41"/>
      <c r="J40" s="41"/>
      <c r="K40" s="41"/>
      <c r="L40" s="43"/>
      <c r="M40" s="43"/>
      <c r="N40" s="42">
        <f t="shared" si="9"/>
        <v>0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</row>
    <row r="41" spans="1:125" x14ac:dyDescent="0.2">
      <c r="A41" s="14" t="s">
        <v>22</v>
      </c>
      <c r="B41" s="45">
        <f>SUM(B42:B44)</f>
        <v>14103550.128590003</v>
      </c>
      <c r="C41" s="45">
        <f t="shared" ref="C41:M41" si="10">SUM(C42:C44)</f>
        <v>11768068.105803499</v>
      </c>
      <c r="D41" s="45">
        <f t="shared" si="10"/>
        <v>13101963.575921997</v>
      </c>
      <c r="E41" s="45">
        <f t="shared" si="10"/>
        <v>14510094.556513999</v>
      </c>
      <c r="F41" s="45">
        <f t="shared" si="10"/>
        <v>16576426.878039999</v>
      </c>
      <c r="G41" s="45">
        <f t="shared" si="10"/>
        <v>14925990.379149999</v>
      </c>
      <c r="H41" s="45">
        <f t="shared" si="10"/>
        <v>16786796.177110001</v>
      </c>
      <c r="I41" s="45">
        <f t="shared" si="10"/>
        <v>19932375.867899995</v>
      </c>
      <c r="J41" s="45">
        <f t="shared" si="10"/>
        <v>18853588.824873101</v>
      </c>
      <c r="K41" s="45">
        <f t="shared" si="10"/>
        <v>15205159.64154</v>
      </c>
      <c r="L41" s="45">
        <f t="shared" si="10"/>
        <v>17422513.692400001</v>
      </c>
      <c r="M41" s="45">
        <f t="shared" si="10"/>
        <v>22091122.866343737</v>
      </c>
      <c r="N41" s="46">
        <f t="shared" si="9"/>
        <v>195277650.69418633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</row>
    <row r="42" spans="1:125" s="22" customFormat="1" x14ac:dyDescent="0.2">
      <c r="A42" s="23" t="s">
        <v>19</v>
      </c>
      <c r="B42" s="36">
        <v>11931114.186980002</v>
      </c>
      <c r="C42" s="36">
        <v>10134905.117389999</v>
      </c>
      <c r="D42" s="36">
        <v>11298035.077889998</v>
      </c>
      <c r="E42" s="36">
        <v>12518640.352809999</v>
      </c>
      <c r="F42" s="36">
        <v>14278893.19619</v>
      </c>
      <c r="G42" s="36">
        <v>12768178.470190002</v>
      </c>
      <c r="H42" s="36">
        <v>14334081.770190001</v>
      </c>
      <c r="I42" s="36">
        <v>16751834.992359998</v>
      </c>
      <c r="J42" s="36">
        <v>16380883.398269001</v>
      </c>
      <c r="K42" s="36">
        <v>14108600.678160001</v>
      </c>
      <c r="L42" s="36">
        <v>16324771.852510002</v>
      </c>
      <c r="M42" s="36">
        <v>18685793.714329995</v>
      </c>
      <c r="N42" s="36">
        <f t="shared" si="9"/>
        <v>169515732.80726898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</row>
    <row r="43" spans="1:125" s="22" customFormat="1" x14ac:dyDescent="0.2">
      <c r="A43" s="23" t="s">
        <v>18</v>
      </c>
      <c r="B43" s="36">
        <v>2140591.9271400003</v>
      </c>
      <c r="C43" s="36">
        <v>1593374.2569835</v>
      </c>
      <c r="D43" s="36">
        <v>1757109.0214219999</v>
      </c>
      <c r="E43" s="36">
        <v>1945359.2789699996</v>
      </c>
      <c r="F43" s="36">
        <v>2252324.7872599997</v>
      </c>
      <c r="G43" s="36">
        <v>2106449.0210399991</v>
      </c>
      <c r="H43" s="36">
        <v>2392282.8159400001</v>
      </c>
      <c r="I43" s="36">
        <v>3102406.1548299994</v>
      </c>
      <c r="J43" s="36">
        <v>2409139.2696349998</v>
      </c>
      <c r="K43" s="36">
        <v>1030438.8873000002</v>
      </c>
      <c r="L43" s="36">
        <v>1004014.20325</v>
      </c>
      <c r="M43" s="36">
        <v>3338228.5687337397</v>
      </c>
      <c r="N43" s="36">
        <f t="shared" si="9"/>
        <v>25071718.192504238</v>
      </c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</row>
    <row r="44" spans="1:125" s="22" customFormat="1" x14ac:dyDescent="0.2">
      <c r="A44" s="23" t="s">
        <v>20</v>
      </c>
      <c r="B44" s="36">
        <v>31844.014470000002</v>
      </c>
      <c r="C44" s="36">
        <v>39788.73143</v>
      </c>
      <c r="D44" s="36">
        <v>46819.476610000005</v>
      </c>
      <c r="E44" s="36">
        <v>46094.924734</v>
      </c>
      <c r="F44" s="36">
        <v>45208.894590000004</v>
      </c>
      <c r="G44" s="36">
        <v>51362.887920000008</v>
      </c>
      <c r="H44" s="36">
        <v>60431.590979999994</v>
      </c>
      <c r="I44" s="36">
        <v>78134.720709999994</v>
      </c>
      <c r="J44" s="36">
        <v>63566.156969100004</v>
      </c>
      <c r="K44" s="36">
        <v>66120.076080000013</v>
      </c>
      <c r="L44" s="36">
        <v>93727.636639999997</v>
      </c>
      <c r="M44" s="36">
        <v>67100.583279999992</v>
      </c>
      <c r="N44" s="36">
        <f t="shared" si="9"/>
        <v>690199.69441310014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</row>
    <row r="45" spans="1:125" x14ac:dyDescent="0.2">
      <c r="A45" s="16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4">
        <f t="shared" si="9"/>
        <v>0</v>
      </c>
    </row>
    <row r="46" spans="1:125" x14ac:dyDescent="0.2">
      <c r="A46" s="14" t="s">
        <v>17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</row>
    <row r="47" spans="1:125" s="22" customFormat="1" x14ac:dyDescent="0.2">
      <c r="A47" s="25" t="s">
        <v>34</v>
      </c>
      <c r="B47" s="39">
        <v>1068501</v>
      </c>
      <c r="C47" s="39">
        <v>1011198</v>
      </c>
      <c r="D47" s="39">
        <v>1235731</v>
      </c>
      <c r="E47" s="39">
        <v>1136796</v>
      </c>
      <c r="F47" s="39">
        <v>1192655</v>
      </c>
      <c r="G47" s="39">
        <v>1192330</v>
      </c>
      <c r="H47" s="39">
        <v>1311081</v>
      </c>
      <c r="I47" s="39">
        <v>1333227</v>
      </c>
      <c r="J47" s="39">
        <v>1305319</v>
      </c>
      <c r="K47" s="39">
        <v>1389147</v>
      </c>
      <c r="L47" s="39">
        <v>1374995</v>
      </c>
      <c r="M47" s="39">
        <v>1750832</v>
      </c>
      <c r="N47" s="40">
        <f t="shared" si="9"/>
        <v>15301812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</row>
    <row r="48" spans="1:125" s="22" customFormat="1" x14ac:dyDescent="0.2">
      <c r="A48" s="25" t="s">
        <v>33</v>
      </c>
      <c r="B48" s="28">
        <v>2560681.3585915598</v>
      </c>
      <c r="C48" s="28">
        <v>2254070.9159169998</v>
      </c>
      <c r="D48" s="28">
        <v>2551667.4937856989</v>
      </c>
      <c r="E48" s="28">
        <v>2229605.3067599991</v>
      </c>
      <c r="F48" s="28">
        <v>3201323.4780899994</v>
      </c>
      <c r="G48" s="28">
        <v>2328545.0457705986</v>
      </c>
      <c r="H48" s="28">
        <v>2980614.8593519982</v>
      </c>
      <c r="I48" s="28">
        <v>2814997.5074799992</v>
      </c>
      <c r="J48" s="28">
        <v>2808865.3604569966</v>
      </c>
      <c r="K48" s="28">
        <v>3144801.2050299994</v>
      </c>
      <c r="L48" s="28">
        <v>3248127.8204999985</v>
      </c>
      <c r="M48" s="28">
        <v>3656029.7092799982</v>
      </c>
      <c r="N48" s="36">
        <f t="shared" si="9"/>
        <v>33779330.06101384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</row>
    <row r="49" spans="1:182" x14ac:dyDescent="0.2">
      <c r="A49" s="16"/>
      <c r="B49" s="29"/>
      <c r="C49" s="29"/>
      <c r="D49" s="29"/>
      <c r="E49" s="30"/>
      <c r="F49" s="30"/>
      <c r="G49" s="30"/>
      <c r="H49" s="30"/>
      <c r="I49" s="28"/>
      <c r="J49" s="28"/>
      <c r="K49" s="28"/>
      <c r="L49" s="30"/>
      <c r="M49" s="30"/>
      <c r="N49" s="30"/>
    </row>
    <row r="50" spans="1:182" x14ac:dyDescent="0.2">
      <c r="A50" s="14" t="s">
        <v>35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17"/>
    </row>
    <row r="51" spans="1:182" s="22" customFormat="1" x14ac:dyDescent="0.2">
      <c r="A51" s="26" t="s">
        <v>27</v>
      </c>
      <c r="B51" s="29">
        <v>822589</v>
      </c>
      <c r="C51" s="29">
        <v>829683</v>
      </c>
      <c r="D51" s="29">
        <v>850718</v>
      </c>
      <c r="E51" s="29">
        <v>889723</v>
      </c>
      <c r="F51" s="29">
        <v>907248</v>
      </c>
      <c r="G51" s="29">
        <v>695048</v>
      </c>
      <c r="H51" s="29">
        <v>964755</v>
      </c>
      <c r="I51" s="28">
        <v>268038</v>
      </c>
      <c r="J51" s="28">
        <v>991084</v>
      </c>
      <c r="K51" s="28">
        <v>883719</v>
      </c>
      <c r="L51" s="28">
        <v>885476</v>
      </c>
      <c r="M51" s="28">
        <v>886964</v>
      </c>
      <c r="N51" s="28">
        <v>886964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</row>
    <row r="52" spans="1:182" s="22" customFormat="1" x14ac:dyDescent="0.2">
      <c r="A52" s="26" t="s">
        <v>36</v>
      </c>
      <c r="B52" s="29">
        <v>111376</v>
      </c>
      <c r="C52" s="29">
        <v>111389</v>
      </c>
      <c r="D52" s="29">
        <v>132573</v>
      </c>
      <c r="E52" s="29">
        <v>122290</v>
      </c>
      <c r="F52" s="29">
        <v>123182</v>
      </c>
      <c r="G52" s="28">
        <v>132866</v>
      </c>
      <c r="H52" s="29">
        <v>152793</v>
      </c>
      <c r="I52" s="28">
        <v>154987</v>
      </c>
      <c r="J52" s="28">
        <v>158590</v>
      </c>
      <c r="K52" s="28">
        <v>169899</v>
      </c>
      <c r="L52" s="28">
        <v>153327</v>
      </c>
      <c r="M52" s="28">
        <v>156475</v>
      </c>
      <c r="N52" s="36">
        <f t="shared" ref="N52:N55" si="11">SUM(B52:M52)</f>
        <v>1679747</v>
      </c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</row>
    <row r="53" spans="1:182" s="22" customFormat="1" x14ac:dyDescent="0.2">
      <c r="A53" s="26" t="s">
        <v>37</v>
      </c>
      <c r="B53" s="30">
        <v>267795.95921999996</v>
      </c>
      <c r="C53" s="29">
        <v>267514.31222999998</v>
      </c>
      <c r="D53" s="29">
        <v>332627.97918000002</v>
      </c>
      <c r="E53" s="29">
        <v>293650.14029999997</v>
      </c>
      <c r="F53" s="29">
        <v>294980.76621999999</v>
      </c>
      <c r="G53" s="28">
        <v>332486.63725000003</v>
      </c>
      <c r="H53" s="29">
        <v>401222.61638000002</v>
      </c>
      <c r="I53" s="28">
        <v>394431.51569000003</v>
      </c>
      <c r="J53" s="28">
        <v>403328.38925999997</v>
      </c>
      <c r="K53" s="28">
        <v>433608.80294000008</v>
      </c>
      <c r="L53" s="28">
        <v>396712.69228999992</v>
      </c>
      <c r="M53" s="28">
        <v>396149.89357999997</v>
      </c>
      <c r="N53" s="36">
        <f t="shared" si="11"/>
        <v>4214509.7045400003</v>
      </c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</row>
    <row r="54" spans="1:182" s="22" customFormat="1" x14ac:dyDescent="0.2">
      <c r="A54" s="26" t="s">
        <v>39</v>
      </c>
      <c r="B54" s="30">
        <v>40950</v>
      </c>
      <c r="C54" s="29">
        <v>39376</v>
      </c>
      <c r="D54" s="29">
        <v>48600</v>
      </c>
      <c r="E54" s="29">
        <v>47734</v>
      </c>
      <c r="F54" s="29">
        <v>58710</v>
      </c>
      <c r="G54" s="28">
        <v>55358</v>
      </c>
      <c r="H54" s="29">
        <v>58481</v>
      </c>
      <c r="I54" s="28">
        <v>73620</v>
      </c>
      <c r="J54" s="28">
        <v>81866</v>
      </c>
      <c r="K54" s="28">
        <v>82618</v>
      </c>
      <c r="L54" s="28">
        <v>87965</v>
      </c>
      <c r="M54" s="28">
        <v>42672</v>
      </c>
      <c r="N54" s="36">
        <f t="shared" si="11"/>
        <v>717950</v>
      </c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</row>
    <row r="55" spans="1:182" s="22" customFormat="1" x14ac:dyDescent="0.2">
      <c r="A55" s="26" t="s">
        <v>38</v>
      </c>
      <c r="B55" s="30">
        <v>68399.743600000002</v>
      </c>
      <c r="C55" s="29">
        <v>60790.48431</v>
      </c>
      <c r="D55" s="29">
        <v>79572.194130000003</v>
      </c>
      <c r="E55" s="29">
        <v>74941.20812000001</v>
      </c>
      <c r="F55" s="29">
        <v>93613.097216072172</v>
      </c>
      <c r="G55" s="28">
        <v>87821.672219999993</v>
      </c>
      <c r="H55" s="29">
        <v>97095.758099999992</v>
      </c>
      <c r="I55" s="28">
        <v>119861.62109</v>
      </c>
      <c r="J55" s="28">
        <v>134107.76822999999</v>
      </c>
      <c r="K55" s="28">
        <v>135763.94237999999</v>
      </c>
      <c r="L55" s="28">
        <v>145862.63353999998</v>
      </c>
      <c r="M55" s="28">
        <v>71583.656799999997</v>
      </c>
      <c r="N55" s="36">
        <f t="shared" si="11"/>
        <v>1169413.7797360723</v>
      </c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</row>
    <row r="56" spans="1:182" x14ac:dyDescent="0.2">
      <c r="A56" s="20"/>
      <c r="B56" s="30"/>
      <c r="C56" s="29"/>
      <c r="D56" s="30"/>
      <c r="E56" s="30"/>
      <c r="F56" s="30"/>
      <c r="G56" s="28"/>
      <c r="H56" s="30"/>
      <c r="I56" s="30"/>
      <c r="J56" s="30"/>
      <c r="K56" s="30"/>
      <c r="L56" s="30"/>
      <c r="M56" s="28"/>
      <c r="N56" s="30"/>
    </row>
    <row r="57" spans="1:182" x14ac:dyDescent="0.2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</row>
    <row r="58" spans="1:182" x14ac:dyDescent="0.2">
      <c r="A58" s="14" t="s">
        <v>28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1"/>
    </row>
    <row r="59" spans="1:182" s="22" customFormat="1" x14ac:dyDescent="0.2">
      <c r="A59" s="27" t="s">
        <v>27</v>
      </c>
      <c r="B59" s="29">
        <v>141297</v>
      </c>
      <c r="C59" s="29">
        <v>141297</v>
      </c>
      <c r="D59" s="29">
        <v>138700</v>
      </c>
      <c r="E59" s="29">
        <f>129384</f>
        <v>129384</v>
      </c>
      <c r="F59" s="29">
        <v>144005</v>
      </c>
      <c r="G59" s="29">
        <v>137184</v>
      </c>
      <c r="H59" s="29">
        <v>139994</v>
      </c>
      <c r="I59" s="29">
        <v>156559</v>
      </c>
      <c r="J59" s="41">
        <v>172591</v>
      </c>
      <c r="K59" s="41">
        <v>163575</v>
      </c>
      <c r="L59" s="41">
        <v>165379</v>
      </c>
      <c r="M59" s="41">
        <v>156071</v>
      </c>
      <c r="N59" s="41">
        <f>+M59+0</f>
        <v>156071</v>
      </c>
      <c r="O59" s="17"/>
      <c r="P59" s="17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182" s="22" customFormat="1" x14ac:dyDescent="0.2">
      <c r="A60" s="27" t="s">
        <v>31</v>
      </c>
      <c r="B60" s="29">
        <v>76331</v>
      </c>
      <c r="C60" s="29">
        <v>76331</v>
      </c>
      <c r="D60" s="29">
        <v>86996</v>
      </c>
      <c r="E60" s="29">
        <v>136792</v>
      </c>
      <c r="F60" s="29">
        <v>147761</v>
      </c>
      <c r="G60" s="29">
        <v>149921</v>
      </c>
      <c r="H60" s="29">
        <v>154494</v>
      </c>
      <c r="I60" s="29">
        <v>157491</v>
      </c>
      <c r="J60" s="41">
        <v>132574</v>
      </c>
      <c r="K60" s="41">
        <v>105374</v>
      </c>
      <c r="L60" s="41">
        <v>97741</v>
      </c>
      <c r="M60" s="41">
        <v>131793</v>
      </c>
      <c r="N60" s="41">
        <f t="shared" ref="N60:N63" si="12">SUM(B60:M60)</f>
        <v>1453599</v>
      </c>
      <c r="O60" s="17"/>
      <c r="P60" s="17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182" s="22" customFormat="1" x14ac:dyDescent="0.2">
      <c r="A61" s="27" t="s">
        <v>32</v>
      </c>
      <c r="B61" s="29">
        <v>8243556.2030004049</v>
      </c>
      <c r="C61" s="29">
        <v>8243556.2030004049</v>
      </c>
      <c r="D61" s="29">
        <v>8706208.1290399097</v>
      </c>
      <c r="E61" s="29">
        <v>9325139.6956610084</v>
      </c>
      <c r="F61" s="29">
        <v>9875154.8345210105</v>
      </c>
      <c r="G61" s="29">
        <v>10784525.869831413</v>
      </c>
      <c r="H61" s="29">
        <v>12803662.415525412</v>
      </c>
      <c r="I61" s="29">
        <v>13039393.698071511</v>
      </c>
      <c r="J61" s="41">
        <v>12326600.294060109</v>
      </c>
      <c r="K61" s="41">
        <v>10875777.307012809</v>
      </c>
      <c r="L61" s="41">
        <v>11440070.422452703</v>
      </c>
      <c r="M61" s="41">
        <v>15627320.347943807</v>
      </c>
      <c r="N61" s="41">
        <f t="shared" si="12"/>
        <v>131290965.42012051</v>
      </c>
      <c r="O61" s="17"/>
      <c r="P61" s="17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182" s="22" customFormat="1" x14ac:dyDescent="0.2">
      <c r="A62" s="27" t="s">
        <v>29</v>
      </c>
      <c r="B62" s="29">
        <v>26954</v>
      </c>
      <c r="C62" s="29">
        <v>26954</v>
      </c>
      <c r="D62" s="29">
        <v>27863</v>
      </c>
      <c r="E62" s="29">
        <v>28000</v>
      </c>
      <c r="F62" s="29">
        <v>28314</v>
      </c>
      <c r="G62" s="29">
        <v>25859</v>
      </c>
      <c r="H62" s="29">
        <v>29268</v>
      </c>
      <c r="I62" s="29">
        <v>28297</v>
      </c>
      <c r="J62" s="41">
        <v>31742</v>
      </c>
      <c r="K62" s="41">
        <v>31742</v>
      </c>
      <c r="L62" s="41">
        <v>35069</v>
      </c>
      <c r="M62" s="41">
        <v>40938</v>
      </c>
      <c r="N62" s="41">
        <f t="shared" si="12"/>
        <v>361000</v>
      </c>
      <c r="O62" s="17"/>
      <c r="P62" s="17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182" s="22" customFormat="1" x14ac:dyDescent="0.2">
      <c r="A63" s="27" t="s">
        <v>30</v>
      </c>
      <c r="B63" s="29">
        <v>246911.15382000001</v>
      </c>
      <c r="C63" s="29">
        <v>246911.15382000001</v>
      </c>
      <c r="D63" s="29">
        <v>356806.43851000001</v>
      </c>
      <c r="E63" s="29">
        <v>311949.47873999999</v>
      </c>
      <c r="F63" s="29">
        <v>281207.96299999999</v>
      </c>
      <c r="G63" s="29">
        <v>351774.08100000001</v>
      </c>
      <c r="H63" s="29">
        <v>402262</v>
      </c>
      <c r="I63" s="29">
        <v>367203.01298</v>
      </c>
      <c r="J63" s="41">
        <v>458344</v>
      </c>
      <c r="K63" s="41">
        <v>483069.16680000001</v>
      </c>
      <c r="L63" s="41">
        <v>2501832.6373200002</v>
      </c>
      <c r="M63" s="41">
        <v>3096240.6745500006</v>
      </c>
      <c r="N63" s="41">
        <f t="shared" si="12"/>
        <v>9104511.7605400011</v>
      </c>
      <c r="O63" s="17"/>
      <c r="P63" s="17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182" x14ac:dyDescent="0.2">
      <c r="A64" s="17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28"/>
      <c r="M64" s="28"/>
      <c r="N64" s="30"/>
    </row>
    <row r="65" spans="1:14" x14ac:dyDescent="0.2">
      <c r="A65" s="17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 spans="1:14" x14ac:dyDescent="0.2">
      <c r="A66" s="17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spans="1:14" x14ac:dyDescent="0.2">
      <c r="E67" s="21"/>
    </row>
    <row r="69" spans="1:14" x14ac:dyDescent="0.2">
      <c r="D69" s="21"/>
    </row>
    <row r="72" spans="1:14" x14ac:dyDescent="0.2">
      <c r="F72" s="21"/>
      <c r="G72" s="21"/>
      <c r="H72" s="21"/>
      <c r="I72" s="21"/>
    </row>
    <row r="73" spans="1:14" x14ac:dyDescent="0.2">
      <c r="F73" s="21"/>
      <c r="G73" s="21"/>
      <c r="H73" s="21"/>
      <c r="I73" s="21"/>
    </row>
    <row r="74" spans="1:14" x14ac:dyDescent="0.2">
      <c r="D74" s="4">
        <f>420*9</f>
        <v>3780</v>
      </c>
      <c r="E74" s="4">
        <f>+D74-2500</f>
        <v>1280</v>
      </c>
      <c r="F74" s="21">
        <f>+E74*62</f>
        <v>79360</v>
      </c>
      <c r="G74" s="21"/>
      <c r="H74" s="21"/>
      <c r="I74" s="21"/>
    </row>
    <row r="75" spans="1:14" x14ac:dyDescent="0.2">
      <c r="D75" s="4">
        <f>+D74*62</f>
        <v>234360</v>
      </c>
      <c r="E75" s="4">
        <f>2500*62</f>
        <v>155000</v>
      </c>
    </row>
    <row r="76" spans="1:14" x14ac:dyDescent="0.2">
      <c r="D76" s="4">
        <f>2000*61</f>
        <v>122000</v>
      </c>
      <c r="G76" s="21"/>
    </row>
    <row r="80" spans="1:14" x14ac:dyDescent="0.2">
      <c r="D80" s="4">
        <f>6*65</f>
        <v>390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Banca electronica 2014</vt:lpstr>
      <vt:lpstr>Sheet2</vt:lpstr>
      <vt:lpstr>Sheet3</vt:lpstr>
    </vt:vector>
  </TitlesOfParts>
  <Company>Banco de Mocambique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F. Fumo</dc:creator>
  <cp:lastModifiedBy>Belmira Rapissone</cp:lastModifiedBy>
  <dcterms:created xsi:type="dcterms:W3CDTF">2013-02-12T13:18:53Z</dcterms:created>
  <dcterms:modified xsi:type="dcterms:W3CDTF">2016-04-28T18:56:28Z</dcterms:modified>
</cp:coreProperties>
</file>
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gmap004\der_users\20110103\Desktop\"/>
    </mc:Choice>
  </mc:AlternateContent>
  <bookViews>
    <workbookView xWindow="0" yWindow="0" windowWidth="21600" windowHeight="7335"/>
  </bookViews>
  <sheets>
    <sheet name="Banca electronica 2017" sheetId="1" r:id="rId1"/>
  </sheets>
  <calcPr calcId="162913"/>
</workbook>
</file>

<file path=xl/calcChain.xml><?xml version="1.0" encoding="utf-8"?>
<calcChain xmlns="http://schemas.openxmlformats.org/spreadsheetml/2006/main">
  <c r="XFC16" i="1" l="1"/>
</calcChain>
</file>

<file path=xl/sharedStrings.xml><?xml version="1.0" encoding="utf-8"?>
<sst xmlns="http://schemas.openxmlformats.org/spreadsheetml/2006/main" count="67" uniqueCount="51">
  <si>
    <t>Número de Cartões</t>
  </si>
  <si>
    <t>Débito</t>
  </si>
  <si>
    <t>Crédito</t>
  </si>
  <si>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</si>
  <si>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</si>
  <si>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</si>
  <si>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</si>
  <si>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</si>
  <si>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</si>
  <si>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</si>
  <si>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</si>
  <si>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</si>
  <si>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</si>
  <si>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</si>
  <si>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</si>
  <si>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</si>
  <si>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</si>
  <si>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Transferências</t>
  </si>
  <si>
    <t>Levantamentos</t>
  </si>
  <si>
    <t>Pagamentos de Serviços</t>
  </si>
  <si>
    <t>Volume de transacções efectuadas em ATM</t>
  </si>
  <si>
    <t>Valor de transacções efectuadas em ATM</t>
  </si>
  <si>
    <t>Pré-Pagos</t>
  </si>
  <si>
    <t>Número de Contas</t>
  </si>
  <si>
    <t>Em Moeda nacional</t>
  </si>
  <si>
    <t>Em Moeda estrangeira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</si>
  <si>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</si>
  <si>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</si>
  <si>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</si>
  <si>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</si>
  <si>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</si>
  <si>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</si>
  <si>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</si>
  <si>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</si>
  <si>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</si>
  <si>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</si>
  <si>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</si>
  <si>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Valor das transferências efectuadas para contas para telemóveis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</si>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</sst>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\ _€_-;\-* #,##0.00\ _€_-;_-* &quot;-&quot;??\ _€_-;_-@_-"/>
    <numFmt numFmtId="165" formatCode="_(* #,##0.00_);_(* \(#,##0.00\);_(* &quot;-&quot;??_);_(@_)"/>
    <numFmt numFmtId="166" formatCode="_-* #,##0.00\ _M_T_-;\-* #,##0.00\ _M_T_-;_-* &quot;-&quot;??\ _M_T_-;_-@_-"/>
    <numFmt numFmtId="167" formatCode="[$-409]mmm\-yy;@"/>
    <numFmt numFmtId="168" formatCode="_-* #,##0\ _M_T_-;\-* #,##0\ _M_T_-;_-* &quot;-&quot;??\ _M_T_-;_-@_-"/>
    <numFmt numFmtId="169" formatCode="_-* #,##0.00\ _M_t_-;\-* #,##0.00\ _M_t_-;_-* &quot;-&quot;??\ _M_t_-;_-@_-"/>
    <numFmt numFmtId="170" formatCode="_ * #,##0.00_ ;_ * \-#,##0.00_ ;_ * &quot;-&quot;??_ ;_ @_ "/>
  </numFmts>
  <fonts count="47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17">
    <xf numFmtId="0" fontId="0" fillId="0" borderId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7" fillId="0" borderId="0"/>
    <xf numFmtId="169" fontId="8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169" fontId="8" fillId="0" borderId="0" applyFont="0" applyFill="0" applyBorder="0" applyAlignment="0" applyProtection="0"/>
    <xf numFmtId="0" fontId="8" fillId="0" borderId="0"/>
    <xf numFmtId="0" fontId="8" fillId="0" borderId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0"/>
    <xf numFmtId="169" fontId="8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170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7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7" applyNumberFormat="0" applyAlignment="0" applyProtection="0"/>
    <xf numFmtId="0" fontId="20" fillId="11" borderId="8" applyNumberFormat="0" applyAlignment="0" applyProtection="0"/>
    <xf numFmtId="0" fontId="21" fillId="11" borderId="7" applyNumberFormat="0" applyAlignment="0" applyProtection="0"/>
    <xf numFmtId="0" fontId="22" fillId="0" borderId="9" applyNumberFormat="0" applyFill="0" applyAlignment="0" applyProtection="0"/>
    <xf numFmtId="0" fontId="23" fillId="12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27" fillId="37" borderId="0" applyNumberFormat="0" applyBorder="0" applyAlignment="0" applyProtection="0"/>
    <xf numFmtId="16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/>
    <xf numFmtId="0" fontId="28" fillId="0" borderId="0"/>
    <xf numFmtId="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1" borderId="0" applyNumberFormat="0" applyBorder="0" applyAlignment="0" applyProtection="0"/>
    <xf numFmtId="0" fontId="29" fillId="44" borderId="0" applyNumberFormat="0" applyBorder="0" applyAlignment="0" applyProtection="0"/>
    <xf numFmtId="0" fontId="29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5" borderId="0" applyNumberFormat="0" applyBorder="0" applyAlignment="0" applyProtection="0"/>
    <xf numFmtId="0" fontId="31" fillId="39" borderId="0" applyNumberFormat="0" applyBorder="0" applyAlignment="0" applyProtection="0"/>
    <xf numFmtId="0" fontId="32" fillId="56" borderId="13" applyNumberFormat="0" applyAlignment="0" applyProtection="0"/>
    <xf numFmtId="0" fontId="33" fillId="57" borderId="14" applyNumberFormat="0" applyAlignment="0" applyProtection="0"/>
    <xf numFmtId="165" fontId="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40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43" borderId="13" applyNumberFormat="0" applyAlignment="0" applyProtection="0"/>
    <xf numFmtId="0" fontId="40" fillId="0" borderId="18" applyNumberFormat="0" applyFill="0" applyAlignment="0" applyProtection="0"/>
    <xf numFmtId="0" fontId="41" fillId="58" borderId="0" applyNumberFormat="0" applyBorder="0" applyAlignment="0" applyProtection="0"/>
    <xf numFmtId="0" fontId="8" fillId="59" borderId="19" applyNumberFormat="0" applyFont="0" applyAlignment="0" applyProtection="0"/>
    <xf numFmtId="0" fontId="42" fillId="56" borderId="20" applyNumberFormat="0" applyAlignment="0" applyProtection="0"/>
    <xf numFmtId="0" fontId="43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165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28" fillId="0" borderId="0"/>
    <xf numFmtId="0" fontId="7" fillId="13" borderId="11" applyNumberFormat="0" applyFont="0" applyAlignment="0" applyProtection="0"/>
    <xf numFmtId="0" fontId="7" fillId="13" borderId="11" applyNumberFormat="0" applyFont="0" applyAlignment="0" applyProtection="0"/>
    <xf numFmtId="0" fontId="7" fillId="13" borderId="11" applyNumberFormat="0" applyFont="0" applyAlignment="0" applyProtection="0"/>
    <xf numFmtId="0" fontId="7" fillId="13" borderId="11" applyNumberFormat="0" applyFont="0" applyAlignment="0" applyProtection="0"/>
    <xf numFmtId="169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7" fillId="0" borderId="0"/>
    <xf numFmtId="16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46" fillId="0" borderId="0"/>
    <xf numFmtId="0" fontId="46" fillId="0" borderId="0"/>
    <xf numFmtId="164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46" fillId="0" borderId="0" applyFont="0" applyFill="0" applyBorder="0" applyAlignment="0" applyProtection="0"/>
    <xf numFmtId="0" fontId="8" fillId="0" borderId="0"/>
    <xf numFmtId="0" fontId="8" fillId="0" borderId="0"/>
    <xf numFmtId="169" fontId="8" fillId="0" borderId="0" applyFont="0" applyFill="0" applyBorder="0" applyAlignment="0" applyProtection="0"/>
    <xf numFmtId="0" fontId="46" fillId="0" borderId="0"/>
    <xf numFmtId="169" fontId="46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Font="1" applyFill="1" applyBorder="1"/>
    <xf numFmtId="0" fontId="1" fillId="0" borderId="0" xfId="0" applyFont="1" applyFill="1" applyBorder="1"/>
    <xf numFmtId="0" fontId="2" fillId="0" borderId="0" xfId="0" applyFont="1"/>
    <xf numFmtId="0" fontId="3" fillId="0" borderId="3" xfId="0" applyFont="1" applyBorder="1"/>
    <xf numFmtId="167" fontId="4" fillId="0" borderId="2" xfId="0" applyNumberFormat="1" applyFont="1" applyBorder="1" applyAlignment="1">
      <alignment horizontal="right" vertical="center" wrapText="1"/>
    </xf>
    <xf numFmtId="0" fontId="4" fillId="2" borderId="1" xfId="0" applyFont="1" applyFill="1" applyBorder="1"/>
    <xf numFmtId="167" fontId="4" fillId="2" borderId="0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3" fillId="0" borderId="1" xfId="0" applyFont="1" applyBorder="1"/>
    <xf numFmtId="3" fontId="6" fillId="0" borderId="0" xfId="0" applyNumberFormat="1" applyFont="1"/>
    <xf numFmtId="0" fontId="3" fillId="0" borderId="1" xfId="0" applyFont="1" applyFill="1" applyBorder="1" applyAlignment="1">
      <alignment horizontal="left" indent="1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/>
    <xf numFmtId="0" fontId="2" fillId="0" borderId="0" xfId="0" applyFont="1" applyFill="1"/>
    <xf numFmtId="0" fontId="4" fillId="3" borderId="1" xfId="0" applyFont="1" applyFill="1" applyBorder="1"/>
    <xf numFmtId="0" fontId="4" fillId="0" borderId="0" xfId="0" applyFont="1" applyFill="1" applyBorder="1" applyAlignment="1">
      <alignment horizontal="left"/>
    </xf>
    <xf numFmtId="3" fontId="2" fillId="0" borderId="0" xfId="0" applyNumberFormat="1" applyFont="1"/>
    <xf numFmtId="168" fontId="5" fillId="3" borderId="0" xfId="1" applyNumberFormat="1" applyFont="1" applyFill="1" applyBorder="1"/>
    <xf numFmtId="168" fontId="3" fillId="0" borderId="0" xfId="1" applyNumberFormat="1" applyFont="1" applyBorder="1" applyAlignment="1">
      <alignment horizontal="right"/>
    </xf>
    <xf numFmtId="168" fontId="2" fillId="0" borderId="0" xfId="1" applyNumberFormat="1" applyFont="1"/>
    <xf numFmtId="168" fontId="1" fillId="0" borderId="0" xfId="1" applyNumberFormat="1" applyFont="1" applyBorder="1"/>
    <xf numFmtId="168" fontId="4" fillId="2" borderId="1" xfId="1" applyNumberFormat="1" applyFont="1" applyFill="1" applyBorder="1"/>
    <xf numFmtId="168" fontId="3" fillId="0" borderId="0" xfId="1" applyNumberFormat="1" applyFont="1" applyFill="1" applyBorder="1" applyAlignment="1">
      <alignment horizontal="right"/>
    </xf>
    <xf numFmtId="0" fontId="2" fillId="4" borderId="0" xfId="0" applyFont="1" applyFill="1"/>
    <xf numFmtId="0" fontId="3" fillId="5" borderId="1" xfId="0" applyFont="1" applyFill="1" applyBorder="1"/>
    <xf numFmtId="0" fontId="2" fillId="5" borderId="0" xfId="0" applyFont="1" applyFill="1"/>
    <xf numFmtId="0" fontId="3" fillId="0" borderId="1" xfId="0" applyFont="1" applyFill="1" applyBorder="1"/>
    <xf numFmtId="166" fontId="3" fillId="0" borderId="0" xfId="1" applyFont="1" applyFill="1" applyBorder="1" applyAlignment="1">
      <alignment horizontal="right"/>
    </xf>
    <xf numFmtId="166" fontId="2" fillId="0" borderId="0" xfId="1" applyFont="1"/>
    <xf numFmtId="166" fontId="2" fillId="0" borderId="0" xfId="1" applyFont="1" applyFill="1"/>
    <xf numFmtId="168" fontId="4" fillId="2" borderId="0" xfId="1" applyNumberFormat="1" applyFont="1" applyFill="1" applyBorder="1" applyAlignment="1">
      <alignment horizontal="right"/>
    </xf>
    <xf numFmtId="168" fontId="4" fillId="2" borderId="1" xfId="1" applyNumberFormat="1" applyFont="1" applyFill="1" applyBorder="1" applyAlignment="1">
      <alignment horizontal="left"/>
    </xf>
    <xf numFmtId="168" fontId="3" fillId="0" borderId="0" xfId="1" applyNumberFormat="1" applyFont="1" applyFill="1" applyBorder="1" applyAlignment="1">
      <alignment horizontal="center"/>
    </xf>
    <xf numFmtId="168" fontId="2" fillId="0" borderId="0" xfId="1" applyNumberFormat="1" applyFont="1" applyFill="1"/>
    <xf numFmtId="166" fontId="4" fillId="2" borderId="0" xfId="1" applyFont="1" applyFill="1" applyBorder="1" applyAlignment="1">
      <alignment horizontal="right"/>
    </xf>
    <xf numFmtId="166" fontId="1" fillId="0" borderId="0" xfId="1" applyFont="1" applyFill="1" applyBorder="1" applyAlignment="1">
      <alignment horizontal="right"/>
    </xf>
    <xf numFmtId="166" fontId="2" fillId="0" borderId="0" xfId="1" applyFont="1" applyFill="1" applyBorder="1" applyAlignment="1">
      <alignment horizontal="right"/>
    </xf>
    <xf numFmtId="166" fontId="3" fillId="2" borderId="0" xfId="1" applyFont="1" applyFill="1" applyBorder="1" applyAlignment="1">
      <alignment horizontal="right"/>
    </xf>
    <xf numFmtId="166" fontId="2" fillId="2" borderId="0" xfId="1" applyFont="1" applyFill="1"/>
    <xf numFmtId="166" fontId="2" fillId="6" borderId="0" xfId="1" applyFont="1" applyFill="1"/>
    <xf numFmtId="0" fontId="3" fillId="5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166" fontId="4" fillId="2" borderId="1" xfId="1" applyFont="1" applyFill="1" applyBorder="1" applyAlignment="1">
      <alignment horizontal="left"/>
    </xf>
    <xf numFmtId="166" fontId="6" fillId="0" borderId="0" xfId="1" applyFont="1"/>
    <xf numFmtId="166" fontId="2" fillId="5" borderId="0" xfId="1" applyFont="1" applyFill="1"/>
    <xf numFmtId="166" fontId="2" fillId="0" borderId="0" xfId="1" applyFont="1" applyBorder="1"/>
    <xf numFmtId="166" fontId="6" fillId="0" borderId="0" xfId="1" applyFont="1" applyBorder="1"/>
    <xf numFmtId="166" fontId="3" fillId="0" borderId="0" xfId="1" applyFont="1" applyBorder="1" applyAlignment="1">
      <alignment horizontal="right"/>
    </xf>
  </cellXfs>
  <cellStyles count="217">
    <cellStyle name="20% - Accent1" xfId="85" builtinId="30" customBuiltin="1"/>
    <cellStyle name="20% - Accent1 2" xfId="121"/>
    <cellStyle name="20% - Accent2" xfId="89" builtinId="34" customBuiltin="1"/>
    <cellStyle name="20% - Accent2 2" xfId="122"/>
    <cellStyle name="20% - Accent3" xfId="93" builtinId="38" customBuiltin="1"/>
    <cellStyle name="20% - Accent3 2" xfId="123"/>
    <cellStyle name="20% - Accent4" xfId="97" builtinId="42" customBuiltin="1"/>
    <cellStyle name="20% - Accent4 2" xfId="124"/>
    <cellStyle name="20% - Accent5" xfId="101" builtinId="46" customBuiltin="1"/>
    <cellStyle name="20% - Accent5 2" xfId="125"/>
    <cellStyle name="20% - Accent6" xfId="105" builtinId="50" customBuiltin="1"/>
    <cellStyle name="20% - Accent6 2" xfId="126"/>
    <cellStyle name="40% - Accent1" xfId="86" builtinId="31" customBuiltin="1"/>
    <cellStyle name="40% - Accent1 2" xfId="127"/>
    <cellStyle name="40% - Accent2" xfId="90" builtinId="35" customBuiltin="1"/>
    <cellStyle name="40% - Accent2 2" xfId="128"/>
    <cellStyle name="40% - Accent3" xfId="94" builtinId="39" customBuiltin="1"/>
    <cellStyle name="40% - Accent3 2" xfId="129"/>
    <cellStyle name="40% - Accent4" xfId="98" builtinId="43" customBuiltin="1"/>
    <cellStyle name="40% - Accent4 2" xfId="130"/>
    <cellStyle name="40% - Accent5" xfId="102" builtinId="47" customBuiltin="1"/>
    <cellStyle name="40% - Accent5 2" xfId="131"/>
    <cellStyle name="40% - Accent6" xfId="106" builtinId="51" customBuiltin="1"/>
    <cellStyle name="40% - Accent6 2" xfId="132"/>
    <cellStyle name="60% - Accent1" xfId="87" builtinId="32" customBuiltin="1"/>
    <cellStyle name="60% - Accent1 2" xfId="133"/>
    <cellStyle name="60% - Accent2" xfId="91" builtinId="36" customBuiltin="1"/>
    <cellStyle name="60% - Accent2 2" xfId="134"/>
    <cellStyle name="60% - Accent3" xfId="95" builtinId="40" customBuiltin="1"/>
    <cellStyle name="60% - Accent3 2" xfId="135"/>
    <cellStyle name="60% - Accent4" xfId="99" builtinId="44" customBuiltin="1"/>
    <cellStyle name="60% - Accent4 2" xfId="136"/>
    <cellStyle name="60% - Accent5" xfId="103" builtinId="48" customBuiltin="1"/>
    <cellStyle name="60% - Accent5 2" xfId="137"/>
    <cellStyle name="60% - Accent6" xfId="107" builtinId="52" customBuiltin="1"/>
    <cellStyle name="60% - Accent6 2" xfId="138"/>
    <cellStyle name="Accent1" xfId="84" builtinId="29" customBuiltin="1"/>
    <cellStyle name="Accent1 2" xfId="139"/>
    <cellStyle name="Accent2" xfId="88" builtinId="33" customBuiltin="1"/>
    <cellStyle name="Accent2 2" xfId="140"/>
    <cellStyle name="Accent3" xfId="92" builtinId="37" customBuiltin="1"/>
    <cellStyle name="Accent3 2" xfId="141"/>
    <cellStyle name="Accent4" xfId="96" builtinId="41" customBuiltin="1"/>
    <cellStyle name="Accent4 2" xfId="142"/>
    <cellStyle name="Accent5" xfId="100" builtinId="45" customBuiltin="1"/>
    <cellStyle name="Accent5 2" xfId="143"/>
    <cellStyle name="Accent6" xfId="104" builtinId="49" customBuiltin="1"/>
    <cellStyle name="Accent6 2" xfId="144"/>
    <cellStyle name="Bad" xfId="74" builtinId="27" customBuiltin="1"/>
    <cellStyle name="Bad 2" xfId="145"/>
    <cellStyle name="Calculation" xfId="78" builtinId="22" customBuiltin="1"/>
    <cellStyle name="Calculation 2" xfId="146"/>
    <cellStyle name="Check Cell" xfId="80" builtinId="23" customBuiltin="1"/>
    <cellStyle name="Check Cell 2" xfId="147"/>
    <cellStyle name="Comma" xfId="1" builtinId="3"/>
    <cellStyle name="Comma 10" xfId="174"/>
    <cellStyle name="Comma 11" xfId="175"/>
    <cellStyle name="Comma 12" xfId="179"/>
    <cellStyle name="Comma 13" xfId="193"/>
    <cellStyle name="Comma 13 2" xfId="216"/>
    <cellStyle name="Comma 14" xfId="208"/>
    <cellStyle name="Comma 2" xfId="4"/>
    <cellStyle name="Comma 2 2" xfId="6"/>
    <cellStyle name="Comma 2 2 2" xfId="41"/>
    <cellStyle name="Comma 2 2 2 2" xfId="188"/>
    <cellStyle name="Comma 2 2 2 3" xfId="114"/>
    <cellStyle name="Comma 2 2 3" xfId="38"/>
    <cellStyle name="Comma 2 2 3 2" xfId="57"/>
    <cellStyle name="Comma 2 2 3 3" xfId="187"/>
    <cellStyle name="Comma 2 2 3 4" xfId="180"/>
    <cellStyle name="Comma 2 2 4" xfId="110"/>
    <cellStyle name="Comma 2 3" xfId="43"/>
    <cellStyle name="Comma 2 3 2" xfId="118"/>
    <cellStyle name="Comma 2 3 3" xfId="111"/>
    <cellStyle name="Comma 2 4" xfId="36"/>
    <cellStyle name="Comma 2 4 2" xfId="55"/>
    <cellStyle name="Comma 3" xfId="9"/>
    <cellStyle name="Comma 3 2" xfId="17"/>
    <cellStyle name="Comma 3 2 2" xfId="189"/>
    <cellStyle name="Comma 3 2 3" xfId="115"/>
    <cellStyle name="Comma 3 3" xfId="34"/>
    <cellStyle name="Comma 3 3 2" xfId="54"/>
    <cellStyle name="Comma 3 3 3" xfId="185"/>
    <cellStyle name="Comma 3 3 4" xfId="176"/>
    <cellStyle name="Comma 3 4" xfId="201"/>
    <cellStyle name="Comma 3_BOM" xfId="183"/>
    <cellStyle name="Comma 4" xfId="10"/>
    <cellStyle name="Comma 4 2" xfId="21"/>
    <cellStyle name="Comma 4 2 2" xfId="39"/>
    <cellStyle name="Comma 4 2 3" xfId="112"/>
    <cellStyle name="Comma 4 3" xfId="25"/>
    <cellStyle name="Comma 4 3 2" xfId="56"/>
    <cellStyle name="Comma 4 3 3" xfId="37"/>
    <cellStyle name="Comma 4 3 4" xfId="165"/>
    <cellStyle name="Comma 4 3 5" xfId="113"/>
    <cellStyle name="Comma 4 4" xfId="29"/>
    <cellStyle name="Comma 4 4 2" xfId="197"/>
    <cellStyle name="Comma 4 4 2 2" xfId="210"/>
    <cellStyle name="Comma 4 4 3" xfId="119"/>
    <cellStyle name="Comma 4 5" xfId="32"/>
    <cellStyle name="Comma 4 5 2" xfId="203"/>
    <cellStyle name="Comma 4 5 3" xfId="177"/>
    <cellStyle name="Comma 4 6" xfId="66"/>
    <cellStyle name="Comma 4 6 2" xfId="205"/>
    <cellStyle name="Comma 4 6 3" xfId="181"/>
    <cellStyle name="Comma 4 6 4" xfId="211"/>
    <cellStyle name="Comma 4 7" xfId="182"/>
    <cellStyle name="Comma 4 8" xfId="196"/>
    <cellStyle name="Comma 4 8 2" xfId="214"/>
    <cellStyle name="Comma 4 9" xfId="204"/>
    <cellStyle name="Comma 5" xfId="11"/>
    <cellStyle name="Comma 5 2" xfId="30"/>
    <cellStyle name="Comma 5 2 2" xfId="202"/>
    <cellStyle name="Comma 5 2 3" xfId="194"/>
    <cellStyle name="Comma 5 3" xfId="64"/>
    <cellStyle name="Comma 6" xfId="14"/>
    <cellStyle name="Comma 6 2" xfId="46"/>
    <cellStyle name="Comma 6 3" xfId="108"/>
    <cellStyle name="Comma 6 4" xfId="148"/>
    <cellStyle name="Comma 7" xfId="16"/>
    <cellStyle name="Comma 7 2" xfId="164"/>
    <cellStyle name="Comma 7 3" xfId="163"/>
    <cellStyle name="Comma 8" xfId="28"/>
    <cellStyle name="Comma 8 2" xfId="166"/>
    <cellStyle name="Comma 8 2 2" xfId="209"/>
    <cellStyle name="Comma 8 3" xfId="109"/>
    <cellStyle name="Comma 9" xfId="2"/>
    <cellStyle name="Comma 9 2" xfId="172"/>
    <cellStyle name="Explanatory Text" xfId="82" builtinId="53" customBuiltin="1"/>
    <cellStyle name="Explanatory Text 2" xfId="149"/>
    <cellStyle name="Good" xfId="73" builtinId="26" customBuiltin="1"/>
    <cellStyle name="Good 2" xfId="150"/>
    <cellStyle name="Heading 1" xfId="69" builtinId="16" customBuiltin="1"/>
    <cellStyle name="Heading 1 2" xfId="151"/>
    <cellStyle name="Heading 2" xfId="70" builtinId="17" customBuiltin="1"/>
    <cellStyle name="Heading 2 2" xfId="152"/>
    <cellStyle name="Heading 3" xfId="71" builtinId="18" customBuiltin="1"/>
    <cellStyle name="Heading 3 2" xfId="153"/>
    <cellStyle name="Heading 4" xfId="72" builtinId="19" customBuiltin="1"/>
    <cellStyle name="Heading 4 2" xfId="154"/>
    <cellStyle name="Input" xfId="76" builtinId="20" customBuiltin="1"/>
    <cellStyle name="Input 2" xfId="155"/>
    <cellStyle name="Linked Cell" xfId="79" builtinId="24" customBuiltin="1"/>
    <cellStyle name="Linked Cell 2" xfId="156"/>
    <cellStyle name="Neutral" xfId="75" builtinId="28" customBuiltin="1"/>
    <cellStyle name="Neutral 2" xfId="157"/>
    <cellStyle name="Normal" xfId="0" builtinId="0"/>
    <cellStyle name="Normal 10" xfId="27"/>
    <cellStyle name="Normal 10 2" xfId="45"/>
    <cellStyle name="Normal 10 3" xfId="200"/>
    <cellStyle name="Normal 11" xfId="18"/>
    <cellStyle name="Normal 12" xfId="31"/>
    <cellStyle name="Normal 12 2" xfId="212"/>
    <cellStyle name="Normal 12 3" xfId="206"/>
    <cellStyle name="Normal 13" xfId="215"/>
    <cellStyle name="Normal 2" xfId="5"/>
    <cellStyle name="Normal 2 2" xfId="7"/>
    <cellStyle name="Normal 2 2 2" xfId="19"/>
    <cellStyle name="Normal 2 3" xfId="47"/>
    <cellStyle name="Normal 2 4" xfId="116"/>
    <cellStyle name="Normal 2_BOM" xfId="67"/>
    <cellStyle name="Normal 3" xfId="3"/>
    <cellStyle name="Normal 3 2" xfId="20"/>
    <cellStyle name="Normal 3 2 2" xfId="40"/>
    <cellStyle name="Normal 3 2 2 2" xfId="58"/>
    <cellStyle name="Normal 3 2 3" xfId="48"/>
    <cellStyle name="Normal 3 3" xfId="173"/>
    <cellStyle name="Normal 3_BOM" xfId="184"/>
    <cellStyle name="Normal 4" xfId="8"/>
    <cellStyle name="Normal 4 2" xfId="22"/>
    <cellStyle name="Normal 4 2 2" xfId="60"/>
    <cellStyle name="Normal 4 2 3" xfId="190"/>
    <cellStyle name="Normal 4 2 4" xfId="117"/>
    <cellStyle name="Normal 4 3" xfId="49"/>
    <cellStyle name="Normal 4 3 2" xfId="191"/>
    <cellStyle name="Normal 4 3 3" xfId="167"/>
    <cellStyle name="Normal 4 4" xfId="65"/>
    <cellStyle name="Normal 4 4 2" xfId="198"/>
    <cellStyle name="Normal 4 4 3" xfId="178"/>
    <cellStyle name="Normal 4 4 4" xfId="207"/>
    <cellStyle name="Normal 4 5" xfId="195"/>
    <cellStyle name="Normal 4 5 2" xfId="213"/>
    <cellStyle name="Normal 5" xfId="13"/>
    <cellStyle name="Normal 5 2" xfId="23"/>
    <cellStyle name="Normal 5 2 2" xfId="61"/>
    <cellStyle name="Normal 5 3" xfId="50"/>
    <cellStyle name="Normal 6" xfId="12"/>
    <cellStyle name="Normal 6 2" xfId="44"/>
    <cellStyle name="Normal 6 2 2" xfId="62"/>
    <cellStyle name="Normal 6 3" xfId="51"/>
    <cellStyle name="Normal 7" xfId="15"/>
    <cellStyle name="Normal 7 2" xfId="59"/>
    <cellStyle name="Normal 7 3" xfId="42"/>
    <cellStyle name="Normal 8" xfId="24"/>
    <cellStyle name="Normal 8 2" xfId="53"/>
    <cellStyle name="Normal 8 3" xfId="33"/>
    <cellStyle name="Normal 9" xfId="26"/>
    <cellStyle name="Normal 9 2" xfId="63"/>
    <cellStyle name="Normal 9 3" xfId="199"/>
    <cellStyle name="Note 2" xfId="158"/>
    <cellStyle name="Note 2 2" xfId="168"/>
    <cellStyle name="Note 3" xfId="169"/>
    <cellStyle name="Note 4" xfId="170"/>
    <cellStyle name="Note 5" xfId="171"/>
    <cellStyle name="Output" xfId="77" builtinId="21" customBuiltin="1"/>
    <cellStyle name="Output 2" xfId="159"/>
    <cellStyle name="Percent 2" xfId="35"/>
    <cellStyle name="Percent 2 2" xfId="186"/>
    <cellStyle name="Percent 2 3" xfId="120"/>
    <cellStyle name="Percent 3" xfId="52"/>
    <cellStyle name="Percent 3 2" xfId="192"/>
    <cellStyle name="Title" xfId="68" builtinId="15" customBuiltin="1"/>
    <cellStyle name="Title 2" xfId="160"/>
    <cellStyle name="Total" xfId="83" builtinId="25" customBuiltin="1"/>
    <cellStyle name="Total 2" xfId="161"/>
    <cellStyle name="Warning Text" xfId="81" builtinId="11" customBuiltin="1"/>
    <cellStyle name="Warning Text 2" xfId="1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79"/>
  <sheetViews>
    <sheetView tabSelected="1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I48" sqref="I48"/>
    </sheetView>
  </sheetViews>
  <sheetFormatPr defaultRowHeight="12" x14ac:dyDescent="0.2"/>
  <cols>
    <col min="1" max="1" width="58.28515625" style="3" customWidth="1"/>
    <col min="2" max="2" width="18.85546875" style="3" bestFit="1" customWidth="1"/>
    <col min="3" max="3" width="19.85546875" style="3" bestFit="1" customWidth="1"/>
    <col min="4" max="7" width="18.85546875" style="3" bestFit="1" customWidth="1"/>
    <col min="8" max="8" width="19.140625" style="3" bestFit="1" customWidth="1"/>
    <col min="9" max="10" width="19.85546875" style="3" bestFit="1" customWidth="1"/>
    <col min="11" max="13" width="20" style="3" bestFit="1" customWidth="1"/>
    <col min="14" max="14" width="11.28515625" style="30" bestFit="1" customWidth="1"/>
    <col min="15" max="15" width="13.85546875" style="30" bestFit="1" customWidth="1"/>
    <col min="16" max="18" width="11.85546875" style="30" bestFit="1" customWidth="1"/>
    <col min="19" max="22" width="9.140625" style="30"/>
    <col min="23" max="16384" width="9.140625" style="3"/>
  </cols>
  <sheetData>
    <row r="1" spans="1:22 16383:16383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7"/>
    </row>
    <row r="2" spans="1:22 16383:16383" x14ac:dyDescent="0.2">
      <c r="A2" s="4"/>
      <c r="B2" s="5" t="s">
        <v>39</v>
      </c>
      <c r="C2" s="5" t="s">
        <v>40</v>
      </c>
      <c r="D2" s="5" t="s">
        <v>41</v>
      </c>
      <c r="E2" s="5" t="s">
        <v>42</v>
      </c>
      <c r="F2" s="5" t="s">
        <v>44</v>
      </c>
      <c r="G2" s="5" t="s">
        <v>43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47"/>
    </row>
    <row r="3" spans="1:22 16383:16383" x14ac:dyDescent="0.2">
      <c r="A3" s="6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47"/>
    </row>
    <row r="4" spans="1:22 16383:16383" s="8" customFormat="1" x14ac:dyDescent="0.2">
      <c r="A4" s="16" t="s">
        <v>4</v>
      </c>
      <c r="B4" s="19">
        <v>1696</v>
      </c>
      <c r="C4" s="19">
        <v>1695</v>
      </c>
      <c r="D4" s="19">
        <v>1700</v>
      </c>
      <c r="E4" s="19">
        <v>1703</v>
      </c>
      <c r="F4" s="19">
        <v>1705</v>
      </c>
      <c r="G4" s="19">
        <v>1707</v>
      </c>
      <c r="H4" s="19">
        <v>1707</v>
      </c>
      <c r="I4" s="19">
        <v>1737</v>
      </c>
      <c r="J4" s="19">
        <v>1737</v>
      </c>
      <c r="K4" s="19">
        <v>1736</v>
      </c>
      <c r="L4" s="19">
        <v>1751</v>
      </c>
      <c r="M4" s="19">
        <v>1745</v>
      </c>
      <c r="N4" s="48"/>
      <c r="O4" s="45"/>
      <c r="P4" s="45"/>
      <c r="Q4" s="45"/>
      <c r="R4" s="45"/>
      <c r="S4" s="45"/>
      <c r="T4" s="45"/>
      <c r="U4" s="45"/>
      <c r="V4" s="45"/>
    </row>
    <row r="5" spans="1:22 16383:16383" x14ac:dyDescent="0.2">
      <c r="A5" s="9" t="s">
        <v>5</v>
      </c>
      <c r="B5" s="20">
        <v>578</v>
      </c>
      <c r="C5" s="20">
        <v>578</v>
      </c>
      <c r="D5" s="20">
        <v>580</v>
      </c>
      <c r="E5" s="20">
        <v>582</v>
      </c>
      <c r="F5" s="20">
        <v>578</v>
      </c>
      <c r="G5" s="20">
        <v>578</v>
      </c>
      <c r="H5" s="20">
        <v>576</v>
      </c>
      <c r="I5" s="20">
        <v>590</v>
      </c>
      <c r="J5" s="20">
        <v>586</v>
      </c>
      <c r="K5" s="20">
        <v>587</v>
      </c>
      <c r="L5" s="20">
        <v>597</v>
      </c>
      <c r="M5" s="20">
        <v>597</v>
      </c>
      <c r="N5" s="47"/>
    </row>
    <row r="6" spans="1:22 16383:16383" x14ac:dyDescent="0.2">
      <c r="A6" s="9" t="s">
        <v>6</v>
      </c>
      <c r="B6" s="20">
        <v>241</v>
      </c>
      <c r="C6" s="20">
        <v>240</v>
      </c>
      <c r="D6" s="20">
        <v>240</v>
      </c>
      <c r="E6" s="20">
        <v>240</v>
      </c>
      <c r="F6" s="20">
        <v>240</v>
      </c>
      <c r="G6" s="20">
        <v>240</v>
      </c>
      <c r="H6" s="20">
        <v>240</v>
      </c>
      <c r="I6" s="20">
        <v>251</v>
      </c>
      <c r="J6" s="20">
        <v>242</v>
      </c>
      <c r="K6" s="20">
        <v>241</v>
      </c>
      <c r="L6" s="20">
        <v>239</v>
      </c>
      <c r="M6" s="20">
        <v>237</v>
      </c>
      <c r="N6" s="47"/>
    </row>
    <row r="7" spans="1:22 16383:16383" x14ac:dyDescent="0.2">
      <c r="A7" s="9" t="s">
        <v>7</v>
      </c>
      <c r="B7" s="20">
        <v>81</v>
      </c>
      <c r="C7" s="20">
        <v>81</v>
      </c>
      <c r="D7" s="20">
        <v>81</v>
      </c>
      <c r="E7" s="20">
        <v>81</v>
      </c>
      <c r="F7" s="20">
        <v>81</v>
      </c>
      <c r="G7" s="20">
        <v>80</v>
      </c>
      <c r="H7" s="20">
        <v>80</v>
      </c>
      <c r="I7" s="20">
        <v>80</v>
      </c>
      <c r="J7" s="20">
        <v>79</v>
      </c>
      <c r="K7" s="20">
        <v>79</v>
      </c>
      <c r="L7" s="20">
        <v>79</v>
      </c>
      <c r="M7" s="20">
        <v>78</v>
      </c>
      <c r="N7" s="47"/>
    </row>
    <row r="8" spans="1:22 16383:16383" x14ac:dyDescent="0.2">
      <c r="A8" s="9" t="s">
        <v>8</v>
      </c>
      <c r="B8" s="20">
        <v>80</v>
      </c>
      <c r="C8" s="20">
        <v>80</v>
      </c>
      <c r="D8" s="20">
        <v>80</v>
      </c>
      <c r="E8" s="20">
        <v>80</v>
      </c>
      <c r="F8" s="20">
        <v>82</v>
      </c>
      <c r="G8" s="20">
        <v>82</v>
      </c>
      <c r="H8" s="20">
        <v>83</v>
      </c>
      <c r="I8" s="20">
        <v>85</v>
      </c>
      <c r="J8" s="20">
        <v>83</v>
      </c>
      <c r="K8" s="20">
        <v>82</v>
      </c>
      <c r="L8" s="20">
        <v>82</v>
      </c>
      <c r="M8" s="20">
        <v>82</v>
      </c>
      <c r="N8" s="47"/>
    </row>
    <row r="9" spans="1:22 16383:16383" x14ac:dyDescent="0.2">
      <c r="A9" s="9" t="s">
        <v>9</v>
      </c>
      <c r="B9" s="20">
        <v>132</v>
      </c>
      <c r="C9" s="20">
        <v>132</v>
      </c>
      <c r="D9" s="20">
        <v>134</v>
      </c>
      <c r="E9" s="20">
        <v>134</v>
      </c>
      <c r="F9" s="20">
        <v>133</v>
      </c>
      <c r="G9" s="20">
        <v>134</v>
      </c>
      <c r="H9" s="20">
        <v>134</v>
      </c>
      <c r="I9" s="20">
        <v>137</v>
      </c>
      <c r="J9" s="20">
        <v>140</v>
      </c>
      <c r="K9" s="20">
        <v>142</v>
      </c>
      <c r="L9" s="20">
        <v>143</v>
      </c>
      <c r="M9" s="20">
        <v>141</v>
      </c>
    </row>
    <row r="10" spans="1:22 16383:16383" x14ac:dyDescent="0.2">
      <c r="A10" s="9" t="s">
        <v>10</v>
      </c>
      <c r="B10" s="20">
        <v>62</v>
      </c>
      <c r="C10" s="20">
        <v>62</v>
      </c>
      <c r="D10" s="20">
        <v>62</v>
      </c>
      <c r="E10" s="20">
        <v>62</v>
      </c>
      <c r="F10" s="20">
        <v>62</v>
      </c>
      <c r="G10" s="20">
        <v>62</v>
      </c>
      <c r="H10" s="20">
        <v>62</v>
      </c>
      <c r="I10" s="20">
        <v>63</v>
      </c>
      <c r="J10" s="20">
        <v>66</v>
      </c>
      <c r="K10" s="20">
        <v>65</v>
      </c>
      <c r="L10" s="20">
        <v>65</v>
      </c>
      <c r="M10" s="20">
        <v>64</v>
      </c>
    </row>
    <row r="11" spans="1:22 16383:16383" x14ac:dyDescent="0.2">
      <c r="A11" s="9" t="s">
        <v>11</v>
      </c>
      <c r="B11" s="20">
        <v>107</v>
      </c>
      <c r="C11" s="20">
        <v>107</v>
      </c>
      <c r="D11" s="20">
        <v>107</v>
      </c>
      <c r="E11" s="20">
        <v>108</v>
      </c>
      <c r="F11" s="20">
        <v>109</v>
      </c>
      <c r="G11" s="20">
        <v>111</v>
      </c>
      <c r="H11" s="20">
        <v>111</v>
      </c>
      <c r="I11" s="20">
        <v>109</v>
      </c>
      <c r="J11" s="20">
        <v>111</v>
      </c>
      <c r="K11" s="20">
        <v>111</v>
      </c>
      <c r="L11" s="20">
        <v>115</v>
      </c>
      <c r="M11" s="20">
        <v>111</v>
      </c>
    </row>
    <row r="12" spans="1:22 16383:16383" x14ac:dyDescent="0.2">
      <c r="A12" s="9" t="s">
        <v>12</v>
      </c>
      <c r="B12" s="20">
        <v>109</v>
      </c>
      <c r="C12" s="20">
        <v>109</v>
      </c>
      <c r="D12" s="20">
        <v>109</v>
      </c>
      <c r="E12" s="20">
        <v>109</v>
      </c>
      <c r="F12" s="20">
        <v>112</v>
      </c>
      <c r="G12" s="20">
        <v>112</v>
      </c>
      <c r="H12" s="20">
        <v>112</v>
      </c>
      <c r="I12" s="20">
        <v>113</v>
      </c>
      <c r="J12" s="20">
        <v>113</v>
      </c>
      <c r="K12" s="20">
        <v>111</v>
      </c>
      <c r="L12" s="20">
        <v>112</v>
      </c>
      <c r="M12" s="20">
        <v>111</v>
      </c>
    </row>
    <row r="13" spans="1:22 16383:16383" x14ac:dyDescent="0.2">
      <c r="A13" s="9" t="s">
        <v>13</v>
      </c>
      <c r="B13" s="20">
        <v>180</v>
      </c>
      <c r="C13" s="20">
        <v>180</v>
      </c>
      <c r="D13" s="20">
        <v>180</v>
      </c>
      <c r="E13" s="20">
        <v>180</v>
      </c>
      <c r="F13" s="20">
        <v>181</v>
      </c>
      <c r="G13" s="20">
        <v>181</v>
      </c>
      <c r="H13" s="20">
        <v>181</v>
      </c>
      <c r="I13" s="20">
        <v>182</v>
      </c>
      <c r="J13" s="20">
        <v>185</v>
      </c>
      <c r="K13" s="20">
        <v>189</v>
      </c>
      <c r="L13" s="20">
        <v>186</v>
      </c>
      <c r="M13" s="20">
        <v>191</v>
      </c>
    </row>
    <row r="14" spans="1:22 16383:16383" x14ac:dyDescent="0.2">
      <c r="A14" s="9" t="s">
        <v>14</v>
      </c>
      <c r="B14" s="20">
        <v>77</v>
      </c>
      <c r="C14" s="20">
        <v>77</v>
      </c>
      <c r="D14" s="20">
        <v>77</v>
      </c>
      <c r="E14" s="20">
        <v>77</v>
      </c>
      <c r="F14" s="20">
        <v>77</v>
      </c>
      <c r="G14" s="20">
        <v>77</v>
      </c>
      <c r="H14" s="20">
        <v>78</v>
      </c>
      <c r="I14" s="20">
        <v>78</v>
      </c>
      <c r="J14" s="20">
        <v>83</v>
      </c>
      <c r="K14" s="20">
        <v>80</v>
      </c>
      <c r="L14" s="20">
        <v>84</v>
      </c>
      <c r="M14" s="20">
        <v>84</v>
      </c>
    </row>
    <row r="15" spans="1:22 16383:16383" x14ac:dyDescent="0.2">
      <c r="A15" s="9" t="s">
        <v>15</v>
      </c>
      <c r="B15" s="20">
        <v>49</v>
      </c>
      <c r="C15" s="20">
        <v>49</v>
      </c>
      <c r="D15" s="20">
        <v>50</v>
      </c>
      <c r="E15" s="20">
        <v>50</v>
      </c>
      <c r="F15" s="20">
        <v>50</v>
      </c>
      <c r="G15" s="20">
        <v>50</v>
      </c>
      <c r="H15" s="20">
        <v>50</v>
      </c>
      <c r="I15" s="20">
        <v>49</v>
      </c>
      <c r="J15" s="20">
        <v>49</v>
      </c>
      <c r="K15" s="20">
        <v>49</v>
      </c>
      <c r="L15" s="20">
        <v>49</v>
      </c>
      <c r="M15" s="20">
        <v>49</v>
      </c>
    </row>
    <row r="16" spans="1:22 16383:16383" s="8" customFormat="1" x14ac:dyDescent="0.2">
      <c r="A16" s="16" t="s">
        <v>16</v>
      </c>
      <c r="B16" s="19">
        <v>25265</v>
      </c>
      <c r="C16" s="19">
        <v>25350</v>
      </c>
      <c r="D16" s="19">
        <v>25642</v>
      </c>
      <c r="E16" s="19">
        <v>26161</v>
      </c>
      <c r="F16" s="19">
        <v>26140</v>
      </c>
      <c r="G16" s="19">
        <v>26836</v>
      </c>
      <c r="H16" s="19">
        <v>27239</v>
      </c>
      <c r="I16" s="19">
        <v>27841</v>
      </c>
      <c r="J16" s="19">
        <v>29065</v>
      </c>
      <c r="K16" s="19">
        <v>28488</v>
      </c>
      <c r="L16" s="19">
        <v>29921</v>
      </c>
      <c r="M16" s="19">
        <v>31169</v>
      </c>
      <c r="N16" s="45"/>
      <c r="O16" s="45"/>
      <c r="P16" s="45"/>
      <c r="Q16" s="45"/>
      <c r="R16" s="45"/>
      <c r="S16" s="45"/>
      <c r="T16" s="45"/>
      <c r="U16" s="45"/>
      <c r="V16" s="45"/>
      <c r="XFC16" s="10">
        <f>SUM(B16:XFB16)</f>
        <v>329117</v>
      </c>
    </row>
    <row r="17" spans="1:20" x14ac:dyDescent="0.2">
      <c r="A17" s="9" t="s">
        <v>5</v>
      </c>
      <c r="B17" s="20">
        <v>10137</v>
      </c>
      <c r="C17" s="20">
        <v>10208</v>
      </c>
      <c r="D17" s="20">
        <v>10281</v>
      </c>
      <c r="E17" s="20">
        <v>10457</v>
      </c>
      <c r="F17" s="20">
        <v>10416</v>
      </c>
      <c r="G17" s="20">
        <v>10657</v>
      </c>
      <c r="H17" s="20">
        <v>10822</v>
      </c>
      <c r="I17" s="20">
        <v>11014</v>
      </c>
      <c r="J17" s="20">
        <v>11689</v>
      </c>
      <c r="K17" s="20">
        <v>11466</v>
      </c>
      <c r="L17" s="20">
        <v>12019</v>
      </c>
      <c r="M17" s="20">
        <v>12509</v>
      </c>
      <c r="O17" s="45"/>
      <c r="P17" s="45"/>
      <c r="Q17" s="45"/>
      <c r="R17" s="45"/>
      <c r="S17" s="45"/>
      <c r="T17" s="45"/>
    </row>
    <row r="18" spans="1:20" x14ac:dyDescent="0.2">
      <c r="A18" s="9" t="s">
        <v>6</v>
      </c>
      <c r="B18" s="20">
        <v>3809</v>
      </c>
      <c r="C18" s="20">
        <v>3813</v>
      </c>
      <c r="D18" s="20">
        <v>3884</v>
      </c>
      <c r="E18" s="20">
        <v>3959</v>
      </c>
      <c r="F18" s="20">
        <v>3983</v>
      </c>
      <c r="G18" s="20">
        <v>4039</v>
      </c>
      <c r="H18" s="20">
        <v>4041</v>
      </c>
      <c r="I18" s="20">
        <v>4135</v>
      </c>
      <c r="J18" s="20">
        <v>4441</v>
      </c>
      <c r="K18" s="20">
        <v>4302</v>
      </c>
      <c r="L18" s="20">
        <v>4462</v>
      </c>
      <c r="M18" s="20">
        <v>4686</v>
      </c>
      <c r="O18" s="45"/>
      <c r="P18" s="45"/>
      <c r="Q18" s="45"/>
      <c r="R18" s="45"/>
      <c r="S18" s="45"/>
      <c r="T18" s="45"/>
    </row>
    <row r="19" spans="1:20" x14ac:dyDescent="0.2">
      <c r="A19" s="9" t="s">
        <v>7</v>
      </c>
      <c r="B19" s="20">
        <v>1068</v>
      </c>
      <c r="C19" s="20">
        <v>1054</v>
      </c>
      <c r="D19" s="20">
        <v>1064</v>
      </c>
      <c r="E19" s="20">
        <v>1097</v>
      </c>
      <c r="F19" s="20">
        <v>1074</v>
      </c>
      <c r="G19" s="20">
        <v>1105</v>
      </c>
      <c r="H19" s="20">
        <v>1122</v>
      </c>
      <c r="I19" s="20">
        <v>1161</v>
      </c>
      <c r="J19" s="20">
        <v>1199</v>
      </c>
      <c r="K19" s="20">
        <v>1183</v>
      </c>
      <c r="L19" s="20">
        <v>1242</v>
      </c>
      <c r="M19" s="20">
        <v>1233</v>
      </c>
      <c r="O19" s="45"/>
      <c r="P19" s="45"/>
      <c r="Q19" s="45"/>
      <c r="R19" s="45"/>
      <c r="S19" s="45"/>
      <c r="T19" s="45"/>
    </row>
    <row r="20" spans="1:20" x14ac:dyDescent="0.2">
      <c r="A20" s="9" t="s">
        <v>8</v>
      </c>
      <c r="B20" s="20">
        <v>1213</v>
      </c>
      <c r="C20" s="20">
        <v>1161</v>
      </c>
      <c r="D20" s="20">
        <v>1202</v>
      </c>
      <c r="E20" s="20">
        <v>1235</v>
      </c>
      <c r="F20" s="20">
        <v>1211</v>
      </c>
      <c r="G20" s="20">
        <v>1268</v>
      </c>
      <c r="H20" s="20">
        <v>1291</v>
      </c>
      <c r="I20" s="20">
        <v>1314</v>
      </c>
      <c r="J20" s="20">
        <v>1384</v>
      </c>
      <c r="K20" s="20">
        <v>1382</v>
      </c>
      <c r="L20" s="20">
        <v>1407</v>
      </c>
      <c r="M20" s="20">
        <v>1461</v>
      </c>
      <c r="O20" s="45"/>
      <c r="P20" s="45"/>
      <c r="Q20" s="45"/>
      <c r="R20" s="45"/>
      <c r="S20" s="45"/>
      <c r="T20" s="45"/>
    </row>
    <row r="21" spans="1:20" x14ac:dyDescent="0.2">
      <c r="A21" s="9" t="s">
        <v>9</v>
      </c>
      <c r="B21" s="20">
        <v>1970</v>
      </c>
      <c r="C21" s="20">
        <v>1980</v>
      </c>
      <c r="D21" s="20">
        <v>2000</v>
      </c>
      <c r="E21" s="20">
        <v>2017</v>
      </c>
      <c r="F21" s="20">
        <v>2021</v>
      </c>
      <c r="G21" s="20">
        <v>2075</v>
      </c>
      <c r="H21" s="20">
        <v>2120</v>
      </c>
      <c r="I21" s="20">
        <v>2176</v>
      </c>
      <c r="J21" s="20">
        <v>2079</v>
      </c>
      <c r="K21" s="20">
        <v>2167</v>
      </c>
      <c r="L21" s="20">
        <v>2286</v>
      </c>
      <c r="M21" s="20">
        <v>2361</v>
      </c>
      <c r="O21" s="45"/>
      <c r="P21" s="45"/>
      <c r="Q21" s="45"/>
      <c r="R21" s="45"/>
      <c r="S21" s="45"/>
      <c r="T21" s="45"/>
    </row>
    <row r="22" spans="1:20" x14ac:dyDescent="0.2">
      <c r="A22" s="9" t="s">
        <v>10</v>
      </c>
      <c r="B22" s="20">
        <v>914</v>
      </c>
      <c r="C22" s="20">
        <v>924</v>
      </c>
      <c r="D22" s="20">
        <v>941</v>
      </c>
      <c r="E22" s="20">
        <v>971</v>
      </c>
      <c r="F22" s="20">
        <v>967</v>
      </c>
      <c r="G22" s="20">
        <v>1002</v>
      </c>
      <c r="H22" s="20">
        <v>1019</v>
      </c>
      <c r="I22" s="20">
        <v>1045</v>
      </c>
      <c r="J22" s="20">
        <v>1086</v>
      </c>
      <c r="K22" s="20">
        <v>1075</v>
      </c>
      <c r="L22" s="20">
        <v>1128</v>
      </c>
      <c r="M22" s="20">
        <v>1173</v>
      </c>
      <c r="O22" s="45"/>
      <c r="P22" s="45"/>
      <c r="Q22" s="45"/>
      <c r="R22" s="45"/>
      <c r="S22" s="45"/>
      <c r="T22" s="45"/>
    </row>
    <row r="23" spans="1:20" x14ac:dyDescent="0.2">
      <c r="A23" s="9" t="s">
        <v>11</v>
      </c>
      <c r="B23" s="20">
        <v>1458</v>
      </c>
      <c r="C23" s="20">
        <v>1443</v>
      </c>
      <c r="D23" s="20">
        <v>1448</v>
      </c>
      <c r="E23" s="20">
        <v>1467</v>
      </c>
      <c r="F23" s="20">
        <v>1515</v>
      </c>
      <c r="G23" s="20">
        <v>1530</v>
      </c>
      <c r="H23" s="20">
        <v>1542</v>
      </c>
      <c r="I23" s="20">
        <v>1574</v>
      </c>
      <c r="J23" s="20">
        <v>1587</v>
      </c>
      <c r="K23" s="20">
        <v>1529</v>
      </c>
      <c r="L23" s="20">
        <v>1593</v>
      </c>
      <c r="M23" s="20">
        <v>1746</v>
      </c>
      <c r="O23" s="45"/>
      <c r="P23" s="45"/>
      <c r="Q23" s="45"/>
      <c r="R23" s="45"/>
      <c r="S23" s="45"/>
      <c r="T23" s="45"/>
    </row>
    <row r="24" spans="1:20" x14ac:dyDescent="0.2">
      <c r="A24" s="9" t="s">
        <v>12</v>
      </c>
      <c r="B24" s="20">
        <v>918</v>
      </c>
      <c r="C24" s="20">
        <v>923</v>
      </c>
      <c r="D24" s="20">
        <v>945</v>
      </c>
      <c r="E24" s="20">
        <v>1002</v>
      </c>
      <c r="F24" s="20">
        <v>1033</v>
      </c>
      <c r="G24" s="20">
        <v>1065</v>
      </c>
      <c r="H24" s="20">
        <v>1089</v>
      </c>
      <c r="I24" s="20">
        <v>1136</v>
      </c>
      <c r="J24" s="20">
        <v>1167</v>
      </c>
      <c r="K24" s="20">
        <v>1151</v>
      </c>
      <c r="L24" s="20">
        <v>1205</v>
      </c>
      <c r="M24" s="20">
        <v>1251</v>
      </c>
      <c r="O24" s="45"/>
      <c r="P24" s="45"/>
      <c r="Q24" s="45"/>
      <c r="R24" s="45"/>
      <c r="S24" s="45"/>
      <c r="T24" s="45"/>
    </row>
    <row r="25" spans="1:20" x14ac:dyDescent="0.2">
      <c r="A25" s="9" t="s">
        <v>13</v>
      </c>
      <c r="B25" s="20">
        <v>2342</v>
      </c>
      <c r="C25" s="20">
        <v>2392</v>
      </c>
      <c r="D25" s="20">
        <v>2421</v>
      </c>
      <c r="E25" s="20">
        <v>2455</v>
      </c>
      <c r="F25" s="20">
        <v>2439</v>
      </c>
      <c r="G25" s="20">
        <v>2527</v>
      </c>
      <c r="H25" s="20">
        <v>2583</v>
      </c>
      <c r="I25" s="20">
        <v>2610</v>
      </c>
      <c r="J25" s="20">
        <v>2722</v>
      </c>
      <c r="K25" s="20">
        <v>2688</v>
      </c>
      <c r="L25" s="20">
        <v>2826</v>
      </c>
      <c r="M25" s="20">
        <v>2935</v>
      </c>
      <c r="O25" s="45"/>
      <c r="P25" s="45"/>
      <c r="Q25" s="45"/>
      <c r="R25" s="45"/>
      <c r="S25" s="45"/>
      <c r="T25" s="45"/>
    </row>
    <row r="26" spans="1:20" x14ac:dyDescent="0.2">
      <c r="A26" s="9" t="s">
        <v>14</v>
      </c>
      <c r="B26" s="20">
        <v>953</v>
      </c>
      <c r="C26" s="20">
        <v>969</v>
      </c>
      <c r="D26" s="20">
        <v>980</v>
      </c>
      <c r="E26" s="20">
        <v>993</v>
      </c>
      <c r="F26" s="20">
        <v>975</v>
      </c>
      <c r="G26" s="20">
        <v>1032</v>
      </c>
      <c r="H26" s="20">
        <v>1066</v>
      </c>
      <c r="I26" s="20">
        <v>1109</v>
      </c>
      <c r="J26" s="20">
        <v>1143</v>
      </c>
      <c r="K26" s="20">
        <v>954</v>
      </c>
      <c r="L26" s="20">
        <v>1134</v>
      </c>
      <c r="M26" s="20">
        <v>1188</v>
      </c>
      <c r="O26" s="45"/>
      <c r="P26" s="45"/>
      <c r="Q26" s="45"/>
      <c r="R26" s="45"/>
      <c r="S26" s="45"/>
      <c r="T26" s="45"/>
    </row>
    <row r="27" spans="1:20" x14ac:dyDescent="0.2">
      <c r="A27" s="9" t="s">
        <v>15</v>
      </c>
      <c r="B27" s="20">
        <v>483</v>
      </c>
      <c r="C27" s="20">
        <v>483</v>
      </c>
      <c r="D27" s="20">
        <v>476</v>
      </c>
      <c r="E27" s="20">
        <v>508</v>
      </c>
      <c r="F27" s="20">
        <v>506</v>
      </c>
      <c r="G27" s="20">
        <v>536</v>
      </c>
      <c r="H27" s="20">
        <v>544</v>
      </c>
      <c r="I27" s="20">
        <v>567</v>
      </c>
      <c r="J27" s="20">
        <v>568</v>
      </c>
      <c r="K27" s="20">
        <v>591</v>
      </c>
      <c r="L27" s="20">
        <v>619</v>
      </c>
      <c r="M27" s="20">
        <v>626</v>
      </c>
      <c r="O27" s="45"/>
      <c r="P27" s="45"/>
      <c r="Q27" s="45"/>
      <c r="R27" s="45"/>
      <c r="S27" s="45"/>
      <c r="T27" s="45"/>
    </row>
    <row r="28" spans="1:20" x14ac:dyDescent="0.2">
      <c r="A28" s="6" t="s">
        <v>23</v>
      </c>
      <c r="B28" s="23">
        <v>5346170</v>
      </c>
      <c r="C28" s="23">
        <v>5330913</v>
      </c>
      <c r="D28" s="23">
        <v>5354626</v>
      </c>
      <c r="E28" s="23">
        <v>5377903</v>
      </c>
      <c r="F28" s="23">
        <v>5409681.4450000003</v>
      </c>
      <c r="G28" s="23">
        <v>5474058.9460000005</v>
      </c>
      <c r="H28" s="23">
        <v>5511879.0250000004</v>
      </c>
      <c r="I28" s="23">
        <v>5584552.557</v>
      </c>
      <c r="J28" s="23">
        <v>4878417.5729999999</v>
      </c>
      <c r="K28" s="23">
        <v>4808100</v>
      </c>
      <c r="L28" s="23">
        <v>4882137</v>
      </c>
      <c r="M28" s="23">
        <v>4896636</v>
      </c>
    </row>
    <row r="29" spans="1:20" x14ac:dyDescent="0.2">
      <c r="A29" s="11" t="s">
        <v>24</v>
      </c>
      <c r="B29" s="20">
        <v>5134630</v>
      </c>
      <c r="C29" s="20">
        <v>5105418</v>
      </c>
      <c r="D29" s="20">
        <v>5128818</v>
      </c>
      <c r="E29" s="20">
        <v>5150780</v>
      </c>
      <c r="F29" s="20">
        <v>5182916.4450000003</v>
      </c>
      <c r="G29" s="20">
        <v>5246477.9460000005</v>
      </c>
      <c r="H29" s="20">
        <v>5284404.0250000004</v>
      </c>
      <c r="I29" s="20">
        <v>5356852.557</v>
      </c>
      <c r="J29" s="20">
        <v>4698248.5729999999</v>
      </c>
      <c r="K29" s="20">
        <v>4630244</v>
      </c>
      <c r="L29" s="20">
        <v>4704005</v>
      </c>
      <c r="M29" s="20">
        <v>4732141</v>
      </c>
    </row>
    <row r="30" spans="1:20" x14ac:dyDescent="0.2">
      <c r="A30" s="11" t="s">
        <v>25</v>
      </c>
      <c r="B30" s="20">
        <v>211540</v>
      </c>
      <c r="C30" s="20">
        <v>225495</v>
      </c>
      <c r="D30" s="20">
        <v>225808</v>
      </c>
      <c r="E30" s="20">
        <v>227123</v>
      </c>
      <c r="F30" s="20">
        <v>226765</v>
      </c>
      <c r="G30" s="20">
        <v>227581</v>
      </c>
      <c r="H30" s="20">
        <v>227475</v>
      </c>
      <c r="I30" s="20">
        <v>227700</v>
      </c>
      <c r="J30" s="20">
        <v>180169</v>
      </c>
      <c r="K30" s="20">
        <v>177856</v>
      </c>
      <c r="L30" s="20">
        <v>178132</v>
      </c>
      <c r="M30" s="20">
        <v>164495</v>
      </c>
    </row>
    <row r="31" spans="1:20" x14ac:dyDescent="0.2">
      <c r="A31" s="6" t="s">
        <v>0</v>
      </c>
      <c r="B31" s="32">
        <v>3275511</v>
      </c>
      <c r="C31" s="32">
        <v>3383684</v>
      </c>
      <c r="D31" s="32">
        <v>3459302</v>
      </c>
      <c r="E31" s="32">
        <v>3477334</v>
      </c>
      <c r="F31" s="32">
        <v>3532304</v>
      </c>
      <c r="G31" s="32">
        <v>3573880</v>
      </c>
      <c r="H31" s="32">
        <v>3608701</v>
      </c>
      <c r="I31" s="32">
        <v>3652028</v>
      </c>
      <c r="J31" s="32">
        <v>3238174</v>
      </c>
      <c r="K31" s="32">
        <v>3187948</v>
      </c>
      <c r="L31" s="32">
        <v>3234473</v>
      </c>
      <c r="M31" s="32">
        <v>3275015</v>
      </c>
    </row>
    <row r="32" spans="1:20" x14ac:dyDescent="0.2">
      <c r="A32" s="11" t="s">
        <v>1</v>
      </c>
      <c r="B32" s="20">
        <v>2994094</v>
      </c>
      <c r="C32" s="20">
        <v>3099287</v>
      </c>
      <c r="D32" s="20">
        <v>3184174</v>
      </c>
      <c r="E32" s="20">
        <v>3198675</v>
      </c>
      <c r="F32" s="20">
        <v>3248503</v>
      </c>
      <c r="G32" s="20">
        <v>3295944</v>
      </c>
      <c r="H32" s="20">
        <v>3320604</v>
      </c>
      <c r="I32" s="20">
        <v>3360855</v>
      </c>
      <c r="J32" s="20">
        <v>3046361</v>
      </c>
      <c r="K32" s="20">
        <v>3027280</v>
      </c>
      <c r="L32" s="20">
        <v>3041116</v>
      </c>
      <c r="M32" s="20">
        <v>3078625</v>
      </c>
      <c r="N32" s="49"/>
    </row>
    <row r="33" spans="1:124" x14ac:dyDescent="0.2">
      <c r="A33" s="11" t="s">
        <v>2</v>
      </c>
      <c r="B33" s="20">
        <v>213984</v>
      </c>
      <c r="C33" s="20">
        <v>215473</v>
      </c>
      <c r="D33" s="20">
        <v>210641</v>
      </c>
      <c r="E33" s="20">
        <v>213017</v>
      </c>
      <c r="F33" s="20">
        <v>210295</v>
      </c>
      <c r="G33" s="20">
        <v>209398</v>
      </c>
      <c r="H33" s="20">
        <v>217266</v>
      </c>
      <c r="I33" s="20">
        <v>217518</v>
      </c>
      <c r="J33" s="20">
        <v>118153</v>
      </c>
      <c r="K33" s="20">
        <v>105802</v>
      </c>
      <c r="L33" s="20">
        <v>135000</v>
      </c>
      <c r="M33" s="20">
        <v>141499</v>
      </c>
      <c r="N33" s="49"/>
    </row>
    <row r="34" spans="1:124" x14ac:dyDescent="0.2">
      <c r="A34" s="11" t="s">
        <v>22</v>
      </c>
      <c r="B34" s="20">
        <v>67433</v>
      </c>
      <c r="C34" s="20">
        <v>68924</v>
      </c>
      <c r="D34" s="20">
        <v>64487</v>
      </c>
      <c r="E34" s="20">
        <v>65642</v>
      </c>
      <c r="F34" s="20">
        <v>73506</v>
      </c>
      <c r="G34" s="20">
        <v>68538</v>
      </c>
      <c r="H34" s="20">
        <v>70831</v>
      </c>
      <c r="I34" s="20">
        <v>73655</v>
      </c>
      <c r="J34" s="20">
        <v>73660</v>
      </c>
      <c r="K34" s="20">
        <v>54866</v>
      </c>
      <c r="L34" s="20">
        <v>58357</v>
      </c>
      <c r="M34" s="20">
        <v>54891</v>
      </c>
      <c r="N34" s="49"/>
    </row>
    <row r="35" spans="1:124" x14ac:dyDescent="0.2">
      <c r="A35" s="11"/>
      <c r="B35" s="24"/>
      <c r="C35" s="3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24" x14ac:dyDescent="0.2">
      <c r="A36" s="12" t="s">
        <v>20</v>
      </c>
      <c r="B36" s="32">
        <v>10884156</v>
      </c>
      <c r="C36" s="32">
        <v>10563995</v>
      </c>
      <c r="D36" s="32">
        <v>11012211</v>
      </c>
      <c r="E36" s="32">
        <v>11025319</v>
      </c>
      <c r="F36" s="32">
        <v>11251386</v>
      </c>
      <c r="G36" s="32">
        <v>12521840</v>
      </c>
      <c r="H36" s="32">
        <v>11447155</v>
      </c>
      <c r="I36" s="32">
        <v>11913639</v>
      </c>
      <c r="J36" s="32">
        <v>8130801</v>
      </c>
      <c r="K36" s="32">
        <v>8323958</v>
      </c>
      <c r="L36" s="32">
        <v>8431584</v>
      </c>
      <c r="M36" s="32">
        <v>10041501</v>
      </c>
    </row>
    <row r="37" spans="1:124" s="25" customFormat="1" x14ac:dyDescent="0.2">
      <c r="A37" s="26" t="s">
        <v>18</v>
      </c>
      <c r="B37" s="20">
        <v>9921212</v>
      </c>
      <c r="C37" s="20">
        <v>9598978</v>
      </c>
      <c r="D37" s="20">
        <v>10014353</v>
      </c>
      <c r="E37" s="20">
        <v>10058155</v>
      </c>
      <c r="F37" s="29">
        <v>10213278</v>
      </c>
      <c r="G37" s="29">
        <v>10825664</v>
      </c>
      <c r="H37" s="29">
        <v>10266716</v>
      </c>
      <c r="I37" s="29">
        <v>11095853</v>
      </c>
      <c r="J37" s="29">
        <v>7648219</v>
      </c>
      <c r="K37" s="29">
        <v>7823102</v>
      </c>
      <c r="L37" s="29">
        <v>7923126</v>
      </c>
      <c r="M37" s="29">
        <v>9485946</v>
      </c>
      <c r="N37" s="31"/>
      <c r="O37" s="31"/>
      <c r="P37" s="31"/>
      <c r="Q37" s="31"/>
      <c r="R37" s="31"/>
      <c r="S37" s="31"/>
      <c r="T37" s="31"/>
      <c r="U37" s="31"/>
      <c r="V37" s="31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</row>
    <row r="38" spans="1:124" s="25" customFormat="1" x14ac:dyDescent="0.2">
      <c r="A38" s="26" t="s">
        <v>17</v>
      </c>
      <c r="B38" s="20">
        <v>765332</v>
      </c>
      <c r="C38" s="20">
        <v>784058</v>
      </c>
      <c r="D38" s="29">
        <v>813986</v>
      </c>
      <c r="E38" s="29">
        <v>792421</v>
      </c>
      <c r="F38" s="29">
        <v>880659</v>
      </c>
      <c r="G38" s="29">
        <v>1506541</v>
      </c>
      <c r="H38" s="29">
        <v>1004911</v>
      </c>
      <c r="I38" s="29">
        <v>641700</v>
      </c>
      <c r="J38" s="29">
        <v>365485</v>
      </c>
      <c r="K38" s="29">
        <v>380331</v>
      </c>
      <c r="L38" s="29">
        <v>374360</v>
      </c>
      <c r="M38" s="29">
        <v>430030</v>
      </c>
      <c r="N38" s="31"/>
      <c r="O38" s="31"/>
      <c r="P38" s="31"/>
      <c r="Q38" s="31"/>
      <c r="R38" s="31"/>
      <c r="S38" s="31"/>
      <c r="T38" s="31"/>
      <c r="U38" s="31"/>
      <c r="V38" s="31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</row>
    <row r="39" spans="1:124" s="25" customFormat="1" x14ac:dyDescent="0.2">
      <c r="A39" s="26" t="s">
        <v>19</v>
      </c>
      <c r="B39" s="31">
        <v>197612</v>
      </c>
      <c r="C39" s="31">
        <v>180959</v>
      </c>
      <c r="D39" s="29">
        <v>183872</v>
      </c>
      <c r="E39" s="29">
        <v>174743</v>
      </c>
      <c r="F39" s="29">
        <v>157449</v>
      </c>
      <c r="G39" s="29">
        <v>189635</v>
      </c>
      <c r="H39" s="29">
        <v>175528</v>
      </c>
      <c r="I39" s="29">
        <v>176086</v>
      </c>
      <c r="J39" s="29">
        <v>117097</v>
      </c>
      <c r="K39" s="29">
        <v>120525</v>
      </c>
      <c r="L39" s="29">
        <v>134098</v>
      </c>
      <c r="M39" s="29">
        <v>125525</v>
      </c>
      <c r="N39" s="31"/>
      <c r="O39" s="31"/>
      <c r="P39" s="31"/>
      <c r="Q39" s="31"/>
      <c r="R39" s="31"/>
      <c r="S39" s="31"/>
      <c r="T39" s="31"/>
      <c r="U39" s="31"/>
      <c r="V39" s="31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</row>
    <row r="40" spans="1:124" x14ac:dyDescent="0.2">
      <c r="A40" s="13"/>
      <c r="B40" s="20"/>
      <c r="C40" s="29"/>
      <c r="D40" s="24"/>
      <c r="E40" s="24"/>
      <c r="F40" s="24"/>
      <c r="G40" s="29"/>
      <c r="H40" s="29"/>
      <c r="I40" s="24"/>
      <c r="J40" s="24"/>
      <c r="K40" s="24"/>
      <c r="L40" s="22"/>
      <c r="M40" s="22"/>
      <c r="N40" s="31"/>
      <c r="O40" s="31"/>
      <c r="P40" s="31"/>
      <c r="Q40" s="31"/>
      <c r="R40" s="31"/>
      <c r="S40" s="31"/>
      <c r="T40" s="31"/>
      <c r="U40" s="31"/>
      <c r="V40" s="31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</row>
    <row r="41" spans="1:124" x14ac:dyDescent="0.2">
      <c r="A41" s="12" t="s">
        <v>21</v>
      </c>
      <c r="B41" s="36">
        <v>27469057.647534162</v>
      </c>
      <c r="C41" s="36">
        <v>27006311.533244159</v>
      </c>
      <c r="D41" s="36">
        <v>28144243.758424167</v>
      </c>
      <c r="E41" s="36">
        <v>28440702.181384161</v>
      </c>
      <c r="F41" s="36">
        <v>28520832.298744161</v>
      </c>
      <c r="G41" s="36">
        <v>31606798.672874156</v>
      </c>
      <c r="H41" s="36">
        <v>29489795.445240159</v>
      </c>
      <c r="I41" s="36">
        <v>133645545.56331418</v>
      </c>
      <c r="J41" s="36">
        <v>14211302183.158859</v>
      </c>
      <c r="K41" s="36">
        <v>13558062892.3654</v>
      </c>
      <c r="L41" s="36">
        <v>12333678565.204554</v>
      </c>
      <c r="M41" s="36">
        <v>14047169627.213436</v>
      </c>
      <c r="N41" s="31"/>
      <c r="O41" s="31"/>
      <c r="P41" s="31"/>
      <c r="Q41" s="31"/>
      <c r="R41" s="31"/>
      <c r="S41" s="31"/>
      <c r="T41" s="31"/>
      <c r="U41" s="31"/>
      <c r="V41" s="31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</row>
    <row r="42" spans="1:124" s="25" customFormat="1" x14ac:dyDescent="0.2">
      <c r="A42" s="26" t="s">
        <v>18</v>
      </c>
      <c r="B42" s="20">
        <v>22039895.733199999</v>
      </c>
      <c r="C42" s="20">
        <v>21505844.8332</v>
      </c>
      <c r="D42" s="29">
        <v>22425229.228480004</v>
      </c>
      <c r="E42" s="29">
        <v>22789107.09048</v>
      </c>
      <c r="F42" s="29">
        <v>22614037.191029999</v>
      </c>
      <c r="G42" s="29">
        <v>24871620.232699998</v>
      </c>
      <c r="H42" s="29">
        <v>23985821.532699998</v>
      </c>
      <c r="I42" s="29">
        <v>123195404.53320001</v>
      </c>
      <c r="J42" s="29">
        <v>14186431204.80262</v>
      </c>
      <c r="K42" s="29">
        <v>13366082426.502621</v>
      </c>
      <c r="L42" s="29">
        <v>12134940483.363224</v>
      </c>
      <c r="M42" s="29">
        <v>13823118663.463217</v>
      </c>
      <c r="N42" s="46"/>
      <c r="O42" s="46"/>
      <c r="P42" s="46"/>
      <c r="Q42" s="46"/>
      <c r="R42" s="46"/>
      <c r="S42" s="46"/>
      <c r="T42" s="46"/>
      <c r="U42" s="46"/>
      <c r="V42" s="46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</row>
    <row r="43" spans="1:124" s="25" customFormat="1" x14ac:dyDescent="0.2">
      <c r="A43" s="26" t="s">
        <v>17</v>
      </c>
      <c r="B43" s="20">
        <v>5092565.8008171609</v>
      </c>
      <c r="C43" s="20">
        <v>5162686.90405716</v>
      </c>
      <c r="D43" s="29">
        <v>5364774.6716471612</v>
      </c>
      <c r="E43" s="29">
        <v>5293849.5686471611</v>
      </c>
      <c r="F43" s="29">
        <v>5568327.8784771599</v>
      </c>
      <c r="G43" s="29">
        <v>6337448.5397471599</v>
      </c>
      <c r="H43" s="29">
        <v>4977117.0121071599</v>
      </c>
      <c r="I43" s="29">
        <v>9755112.7642271593</v>
      </c>
      <c r="J43" s="29">
        <v>15748131.571470004</v>
      </c>
      <c r="K43" s="29">
        <v>179173079.94287002</v>
      </c>
      <c r="L43" s="29">
        <v>186924608.98781002</v>
      </c>
      <c r="M43" s="29">
        <v>211723611.74918002</v>
      </c>
      <c r="N43" s="46"/>
      <c r="O43" s="46"/>
      <c r="P43" s="46"/>
      <c r="Q43" s="46"/>
      <c r="R43" s="46"/>
      <c r="S43" s="46"/>
      <c r="T43" s="46"/>
      <c r="U43" s="46"/>
      <c r="V43" s="46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</row>
    <row r="44" spans="1:124" s="25" customFormat="1" x14ac:dyDescent="0.2">
      <c r="A44" s="26" t="s">
        <v>19</v>
      </c>
      <c r="B44" s="31">
        <v>336596.11351700005</v>
      </c>
      <c r="C44" s="31">
        <v>337779.79598700005</v>
      </c>
      <c r="D44" s="29">
        <v>354239.85829700006</v>
      </c>
      <c r="E44" s="29">
        <v>357745.52225699992</v>
      </c>
      <c r="F44" s="29">
        <v>338467.22923699999</v>
      </c>
      <c r="G44" s="29">
        <v>397729.90042700007</v>
      </c>
      <c r="H44" s="29">
        <v>526856.90043299994</v>
      </c>
      <c r="I44" s="29">
        <v>695028.26588700002</v>
      </c>
      <c r="J44" s="29">
        <v>9122846.7847699989</v>
      </c>
      <c r="K44" s="29">
        <v>12807385.919910002</v>
      </c>
      <c r="L44" s="29">
        <v>11813472.85352</v>
      </c>
      <c r="M44" s="29">
        <v>12327352.001039997</v>
      </c>
      <c r="N44" s="46"/>
      <c r="O44" s="46"/>
      <c r="P44" s="46"/>
      <c r="Q44" s="46"/>
      <c r="R44" s="46"/>
      <c r="S44" s="46"/>
      <c r="T44" s="46"/>
      <c r="U44" s="46"/>
      <c r="V44" s="46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</row>
    <row r="45" spans="1:124" x14ac:dyDescent="0.2">
      <c r="A45" s="14"/>
      <c r="B45" s="30"/>
      <c r="C45" s="30"/>
      <c r="D45" s="21"/>
      <c r="E45" s="21"/>
      <c r="F45" s="21"/>
      <c r="G45" s="21"/>
      <c r="H45" s="30"/>
      <c r="I45" s="21"/>
      <c r="J45" s="21"/>
      <c r="K45" s="21"/>
      <c r="L45" s="21"/>
      <c r="M45" s="21"/>
    </row>
    <row r="46" spans="1:124" x14ac:dyDescent="0.2">
      <c r="A46" s="12" t="s">
        <v>16</v>
      </c>
      <c r="B46" s="33"/>
      <c r="C46" s="33"/>
      <c r="D46" s="33"/>
      <c r="E46" s="33"/>
      <c r="F46" s="33"/>
      <c r="G46" s="33"/>
      <c r="H46" s="44"/>
      <c r="I46" s="33"/>
      <c r="J46" s="33"/>
      <c r="K46" s="33"/>
      <c r="L46" s="33"/>
      <c r="M46" s="33"/>
    </row>
    <row r="47" spans="1:124" s="25" customFormat="1" x14ac:dyDescent="0.2">
      <c r="A47" s="28" t="s">
        <v>33</v>
      </c>
      <c r="B47" s="37">
        <v>2713164</v>
      </c>
      <c r="C47" s="37">
        <v>2500311</v>
      </c>
      <c r="D47" s="29">
        <v>2774199</v>
      </c>
      <c r="E47" s="37">
        <v>2995719</v>
      </c>
      <c r="F47" s="37">
        <v>2732388.0559999999</v>
      </c>
      <c r="G47" s="37">
        <v>2695502</v>
      </c>
      <c r="H47" s="29">
        <v>2731633</v>
      </c>
      <c r="I47" s="31">
        <v>2840160</v>
      </c>
      <c r="J47" s="31">
        <v>2346131</v>
      </c>
      <c r="K47" s="31">
        <v>2419035</v>
      </c>
      <c r="L47" s="29">
        <v>2467602</v>
      </c>
      <c r="M47" s="29">
        <v>3149148</v>
      </c>
      <c r="N47" s="31"/>
      <c r="O47" s="31"/>
      <c r="P47" s="31"/>
      <c r="Q47" s="31"/>
      <c r="R47" s="31"/>
      <c r="S47" s="31"/>
      <c r="T47" s="31"/>
      <c r="U47" s="31"/>
      <c r="V47" s="31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</row>
    <row r="48" spans="1:124" s="25" customFormat="1" x14ac:dyDescent="0.2">
      <c r="A48" s="28" t="s">
        <v>32</v>
      </c>
      <c r="B48" s="37">
        <v>23243417.153484132</v>
      </c>
      <c r="C48" s="29">
        <v>20045440.06959413</v>
      </c>
      <c r="D48" s="29">
        <v>48340009.875734128</v>
      </c>
      <c r="E48" s="37">
        <v>48692545.752454117</v>
      </c>
      <c r="F48" s="37">
        <v>104170240.15189412</v>
      </c>
      <c r="G48" s="38">
        <v>102955124.76941413</v>
      </c>
      <c r="H48" s="29">
        <v>105596780.41453414</v>
      </c>
      <c r="I48" s="29">
        <v>116326125.69911912</v>
      </c>
      <c r="J48" s="29">
        <v>551118423.56961977</v>
      </c>
      <c r="K48" s="29">
        <v>579078661.64185297</v>
      </c>
      <c r="L48" s="29">
        <v>654589966.52652013</v>
      </c>
      <c r="M48" s="29">
        <v>759042583.04933047</v>
      </c>
      <c r="N48" s="31"/>
      <c r="O48" s="31"/>
      <c r="P48" s="31"/>
      <c r="Q48" s="31"/>
      <c r="R48" s="31"/>
      <c r="S48" s="31"/>
      <c r="T48" s="31"/>
      <c r="U48" s="31"/>
      <c r="V48" s="31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</row>
    <row r="49" spans="1:181" x14ac:dyDescent="0.2">
      <c r="A49" s="14"/>
      <c r="B49" s="37"/>
      <c r="C49" s="37"/>
      <c r="D49" s="31"/>
      <c r="E49" s="30"/>
      <c r="F49" s="30"/>
      <c r="G49" s="30"/>
      <c r="H49" s="30"/>
      <c r="I49" s="29"/>
      <c r="J49" s="29"/>
      <c r="K49" s="29"/>
      <c r="L49" s="30"/>
      <c r="M49" s="30"/>
    </row>
    <row r="50" spans="1:181" x14ac:dyDescent="0.2">
      <c r="A50" s="12" t="s">
        <v>34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1"/>
    </row>
    <row r="51" spans="1:181" s="25" customFormat="1" x14ac:dyDescent="0.2">
      <c r="A51" s="42" t="s">
        <v>26</v>
      </c>
      <c r="B51" s="31">
        <v>2005341</v>
      </c>
      <c r="C51" s="31">
        <v>2043420</v>
      </c>
      <c r="D51" s="31">
        <v>2068138</v>
      </c>
      <c r="E51" s="31">
        <v>2084523</v>
      </c>
      <c r="F51" s="31">
        <v>2161073</v>
      </c>
      <c r="G51" s="31">
        <v>2184893</v>
      </c>
      <c r="H51" s="31">
        <v>2277165</v>
      </c>
      <c r="I51" s="29">
        <v>2341042</v>
      </c>
      <c r="J51" s="29">
        <v>1898261</v>
      </c>
      <c r="K51" s="29">
        <v>1897852</v>
      </c>
      <c r="L51" s="29">
        <v>1849143</v>
      </c>
      <c r="M51" s="29">
        <v>1646150</v>
      </c>
      <c r="N51" s="31"/>
      <c r="O51" s="31"/>
      <c r="P51" s="31"/>
      <c r="Q51" s="31"/>
      <c r="R51" s="31"/>
      <c r="S51" s="31"/>
      <c r="T51" s="31"/>
      <c r="U51" s="31"/>
      <c r="V51" s="31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</row>
    <row r="52" spans="1:181" s="25" customFormat="1" x14ac:dyDescent="0.2">
      <c r="A52" s="42" t="s">
        <v>35</v>
      </c>
      <c r="B52" s="31">
        <v>138846</v>
      </c>
      <c r="C52" s="31">
        <v>136464</v>
      </c>
      <c r="D52" s="31">
        <v>116199</v>
      </c>
      <c r="E52" s="31">
        <v>107627</v>
      </c>
      <c r="F52" s="31">
        <v>111935</v>
      </c>
      <c r="G52" s="29">
        <v>122180</v>
      </c>
      <c r="H52" s="31">
        <v>133462</v>
      </c>
      <c r="I52" s="29">
        <v>141393</v>
      </c>
      <c r="J52" s="29">
        <v>132849</v>
      </c>
      <c r="K52" s="29">
        <v>130836</v>
      </c>
      <c r="L52" s="29">
        <v>136622</v>
      </c>
      <c r="M52" s="29">
        <v>167114</v>
      </c>
      <c r="N52" s="31"/>
      <c r="O52" s="31"/>
      <c r="P52" s="31"/>
      <c r="Q52" s="31"/>
      <c r="R52" s="31"/>
      <c r="S52" s="31"/>
      <c r="T52" s="31"/>
      <c r="U52" s="31"/>
      <c r="V52" s="31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</row>
    <row r="53" spans="1:181" s="25" customFormat="1" x14ac:dyDescent="0.2">
      <c r="A53" s="42" t="s">
        <v>36</v>
      </c>
      <c r="B53" s="30">
        <v>6184653.43035</v>
      </c>
      <c r="C53" s="31">
        <v>10077246.833379999</v>
      </c>
      <c r="D53" s="31">
        <v>7366145.2916700002</v>
      </c>
      <c r="E53" s="31">
        <v>9126424.3006699998</v>
      </c>
      <c r="F53" s="31">
        <v>3125097.4545899997</v>
      </c>
      <c r="G53" s="29">
        <v>3539613.5915700002</v>
      </c>
      <c r="H53" s="31">
        <v>10434758.26981</v>
      </c>
      <c r="I53" s="29">
        <v>4921684.1069399994</v>
      </c>
      <c r="J53" s="29">
        <v>10226525.220419999</v>
      </c>
      <c r="K53" s="29">
        <v>4122685.5623300001</v>
      </c>
      <c r="L53" s="29">
        <v>4826727.0348499985</v>
      </c>
      <c r="M53" s="29">
        <v>4051990.2328499998</v>
      </c>
      <c r="N53" s="31"/>
      <c r="O53" s="31"/>
      <c r="P53" s="31"/>
      <c r="Q53" s="31"/>
      <c r="R53" s="31"/>
      <c r="S53" s="31"/>
      <c r="T53" s="31"/>
      <c r="U53" s="31"/>
      <c r="V53" s="31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</row>
    <row r="54" spans="1:181" s="25" customFormat="1" x14ac:dyDescent="0.2">
      <c r="A54" s="42" t="s">
        <v>38</v>
      </c>
      <c r="B54" s="30">
        <v>322200</v>
      </c>
      <c r="C54" s="31">
        <v>304667</v>
      </c>
      <c r="D54" s="31">
        <v>355802</v>
      </c>
      <c r="E54" s="31">
        <v>355802</v>
      </c>
      <c r="F54" s="31">
        <v>387822</v>
      </c>
      <c r="G54" s="29">
        <v>459797</v>
      </c>
      <c r="H54" s="31">
        <v>427195</v>
      </c>
      <c r="I54" s="29">
        <v>470588</v>
      </c>
      <c r="J54" s="29">
        <v>526526</v>
      </c>
      <c r="K54" s="29">
        <v>535338</v>
      </c>
      <c r="L54" s="29">
        <v>549010</v>
      </c>
      <c r="M54" s="29">
        <v>705134</v>
      </c>
      <c r="N54" s="31"/>
      <c r="O54" s="31"/>
      <c r="P54" s="31"/>
      <c r="Q54" s="31"/>
      <c r="R54" s="31"/>
      <c r="S54" s="31"/>
      <c r="T54" s="31"/>
      <c r="U54" s="31"/>
      <c r="V54" s="31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</row>
    <row r="55" spans="1:181" s="25" customFormat="1" x14ac:dyDescent="0.2">
      <c r="A55" s="42" t="s">
        <v>37</v>
      </c>
      <c r="B55" s="30">
        <v>509526.78924000001</v>
      </c>
      <c r="C55" s="31">
        <v>877511.27860999992</v>
      </c>
      <c r="D55" s="31">
        <v>948713.56796000001</v>
      </c>
      <c r="E55" s="31">
        <v>948713.56796000001</v>
      </c>
      <c r="F55" s="31">
        <v>602980.41070000001</v>
      </c>
      <c r="G55" s="29">
        <v>709443.98687000002</v>
      </c>
      <c r="H55" s="31">
        <v>721629.55663999997</v>
      </c>
      <c r="I55" s="29">
        <v>766437.65370000002</v>
      </c>
      <c r="J55" s="29">
        <v>832847.21375999996</v>
      </c>
      <c r="K55" s="29">
        <v>854442.89681000006</v>
      </c>
      <c r="L55" s="29">
        <v>1606235.1775299998</v>
      </c>
      <c r="M55" s="29">
        <v>1189993.0176899999</v>
      </c>
      <c r="N55" s="31"/>
      <c r="O55" s="31"/>
      <c r="P55" s="31"/>
      <c r="Q55" s="31"/>
      <c r="R55" s="31"/>
      <c r="S55" s="31"/>
      <c r="T55" s="31"/>
      <c r="U55" s="31"/>
      <c r="V55" s="31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</row>
    <row r="56" spans="1:181" x14ac:dyDescent="0.2">
      <c r="A56" s="17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29"/>
    </row>
    <row r="57" spans="1:181" x14ac:dyDescent="0.2"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spans="1:181" x14ac:dyDescent="0.2">
      <c r="A58" s="12" t="s">
        <v>27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</row>
    <row r="59" spans="1:181" s="25" customFormat="1" x14ac:dyDescent="0.2">
      <c r="A59" s="43" t="s">
        <v>26</v>
      </c>
      <c r="B59" s="30">
        <v>359428</v>
      </c>
      <c r="C59" s="31">
        <v>363695</v>
      </c>
      <c r="D59" s="30">
        <v>370130</v>
      </c>
      <c r="E59" s="30">
        <v>373216</v>
      </c>
      <c r="F59" s="30">
        <v>425851</v>
      </c>
      <c r="G59" s="30">
        <v>431005</v>
      </c>
      <c r="H59" s="30">
        <v>439613</v>
      </c>
      <c r="I59" s="30">
        <v>462984</v>
      </c>
      <c r="J59" s="29">
        <v>292652</v>
      </c>
      <c r="K59" s="29">
        <v>196604</v>
      </c>
      <c r="L59" s="29">
        <v>293239</v>
      </c>
      <c r="M59" s="29">
        <v>271527</v>
      </c>
      <c r="N59" s="30"/>
      <c r="O59" s="30"/>
      <c r="P59" s="30"/>
      <c r="Q59" s="30"/>
      <c r="R59" s="30"/>
      <c r="S59" s="30"/>
      <c r="T59" s="30"/>
      <c r="U59" s="30"/>
      <c r="V59" s="30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181" s="25" customFormat="1" x14ac:dyDescent="0.2">
      <c r="A60" s="43" t="s">
        <v>30</v>
      </c>
      <c r="B60" s="30">
        <v>218283</v>
      </c>
      <c r="C60" s="31">
        <v>224586</v>
      </c>
      <c r="D60" s="30">
        <v>331379.07438999997</v>
      </c>
      <c r="E60" s="30">
        <v>336281.07439000008</v>
      </c>
      <c r="F60" s="41">
        <v>367961.07439000008</v>
      </c>
      <c r="G60" s="30">
        <v>281012</v>
      </c>
      <c r="H60" s="30">
        <v>285185</v>
      </c>
      <c r="I60" s="30">
        <v>291488</v>
      </c>
      <c r="J60" s="31">
        <v>218830</v>
      </c>
      <c r="K60" s="29">
        <v>94067</v>
      </c>
      <c r="L60" s="29">
        <v>259228</v>
      </c>
      <c r="M60" s="29">
        <v>255725</v>
      </c>
      <c r="N60" s="30"/>
      <c r="O60" s="30"/>
      <c r="P60" s="30"/>
      <c r="Q60" s="30"/>
      <c r="R60" s="30"/>
      <c r="S60" s="30"/>
      <c r="T60" s="30"/>
      <c r="U60" s="30"/>
      <c r="V60" s="30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181" s="25" customFormat="1" x14ac:dyDescent="0.2">
      <c r="A61" s="43" t="s">
        <v>31</v>
      </c>
      <c r="B61" s="30">
        <v>33622190.0578361</v>
      </c>
      <c r="C61" s="31">
        <v>29575804.490703542</v>
      </c>
      <c r="D61" s="30">
        <v>27301091.040342435</v>
      </c>
      <c r="E61" s="30">
        <v>32385587.281922441</v>
      </c>
      <c r="F61" s="30">
        <v>44921716.380887911</v>
      </c>
      <c r="G61" s="30">
        <v>40534414.206917919</v>
      </c>
      <c r="H61" s="30">
        <v>44838071.020690925</v>
      </c>
      <c r="I61" s="29">
        <v>27999825.102938801</v>
      </c>
      <c r="J61" s="31">
        <v>28197096.059210889</v>
      </c>
      <c r="K61" s="29">
        <v>33805097.820869863</v>
      </c>
      <c r="L61" s="29">
        <v>52479476.136671074</v>
      </c>
      <c r="M61" s="30">
        <v>59874555.875884615</v>
      </c>
      <c r="N61" s="30"/>
      <c r="O61" s="30"/>
      <c r="P61" s="30"/>
      <c r="Q61" s="30"/>
      <c r="R61" s="30"/>
      <c r="S61" s="30"/>
      <c r="T61" s="30"/>
      <c r="U61" s="30"/>
      <c r="V61" s="30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181" s="25" customFormat="1" x14ac:dyDescent="0.2">
      <c r="A62" s="43" t="s">
        <v>28</v>
      </c>
      <c r="B62" s="30">
        <v>90514</v>
      </c>
      <c r="C62" s="31">
        <v>154291</v>
      </c>
      <c r="D62" s="30">
        <v>112726</v>
      </c>
      <c r="E62" s="30">
        <v>94802</v>
      </c>
      <c r="F62" s="41">
        <v>102611</v>
      </c>
      <c r="G62" s="31">
        <v>96715</v>
      </c>
      <c r="H62" s="30">
        <v>99612</v>
      </c>
      <c r="I62" s="30">
        <v>110529</v>
      </c>
      <c r="J62" s="29">
        <v>166849</v>
      </c>
      <c r="K62" s="29">
        <v>173012</v>
      </c>
      <c r="L62" s="29">
        <v>101921</v>
      </c>
      <c r="M62" s="29">
        <v>105664</v>
      </c>
      <c r="N62" s="30"/>
      <c r="O62" s="30"/>
      <c r="P62" s="30"/>
      <c r="Q62" s="30"/>
      <c r="R62" s="30"/>
      <c r="S62" s="30"/>
      <c r="T62" s="30"/>
      <c r="U62" s="30"/>
      <c r="V62" s="30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181" s="25" customFormat="1" x14ac:dyDescent="0.2">
      <c r="A63" s="43" t="s">
        <v>29</v>
      </c>
      <c r="B63" s="30">
        <v>5174737143.8913507</v>
      </c>
      <c r="C63" s="31">
        <v>10537836352.331768</v>
      </c>
      <c r="D63" s="30">
        <v>5739761906.0621214</v>
      </c>
      <c r="E63" s="30">
        <v>5697081632.1088428</v>
      </c>
      <c r="F63" s="30">
        <v>5556743693.4697819</v>
      </c>
      <c r="G63" s="30">
        <v>5357287492.1500273</v>
      </c>
      <c r="H63" s="30">
        <v>4882835792.3501148</v>
      </c>
      <c r="I63" s="30">
        <v>13725559045.824451</v>
      </c>
      <c r="J63" s="29">
        <v>30264893885.859276</v>
      </c>
      <c r="K63" s="29">
        <v>9543482727.4862194</v>
      </c>
      <c r="L63" s="29">
        <v>4640370614.360671</v>
      </c>
      <c r="M63" s="29">
        <v>5826363951.1195698</v>
      </c>
      <c r="N63" s="30"/>
      <c r="O63" s="30"/>
      <c r="P63" s="30"/>
      <c r="Q63" s="30"/>
      <c r="R63" s="30"/>
      <c r="S63" s="30"/>
      <c r="T63" s="30"/>
      <c r="U63" s="30"/>
      <c r="V63" s="30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181" x14ac:dyDescent="0.2">
      <c r="A64" s="15"/>
      <c r="B64" s="21"/>
      <c r="C64" s="35"/>
      <c r="D64" s="21"/>
      <c r="E64" s="21"/>
      <c r="F64" s="21"/>
      <c r="G64" s="21"/>
      <c r="H64" s="21"/>
      <c r="I64" s="21"/>
      <c r="J64" s="35"/>
      <c r="K64" s="21"/>
      <c r="L64" s="24"/>
      <c r="M64" s="24"/>
    </row>
    <row r="65" spans="1:13" x14ac:dyDescent="0.2">
      <c r="A65" s="15"/>
      <c r="B65" s="30"/>
      <c r="C65" s="30"/>
      <c r="D65" s="30"/>
      <c r="E65" s="30"/>
      <c r="F65" s="30"/>
      <c r="G65" s="30"/>
      <c r="H65" s="30"/>
    </row>
    <row r="66" spans="1:13" x14ac:dyDescent="0.2">
      <c r="A66" s="15"/>
    </row>
    <row r="67" spans="1:13" x14ac:dyDescent="0.2">
      <c r="B67" s="29"/>
      <c r="E67" s="18"/>
    </row>
    <row r="69" spans="1:13" x14ac:dyDescent="0.2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 spans="1:13" x14ac:dyDescent="0.2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 spans="1:13" x14ac:dyDescent="0.2">
      <c r="B71" s="29"/>
    </row>
    <row r="72" spans="1:13" x14ac:dyDescent="0.2">
      <c r="B72" s="29"/>
      <c r="F72" s="18"/>
      <c r="G72" s="18"/>
      <c r="H72" s="18"/>
      <c r="I72" s="18"/>
    </row>
    <row r="73" spans="1:13" x14ac:dyDescent="0.2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</row>
    <row r="74" spans="1:13" x14ac:dyDescent="0.2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</row>
    <row r="75" spans="1:13" x14ac:dyDescent="0.2">
      <c r="B75" s="29"/>
    </row>
    <row r="76" spans="1:13" x14ac:dyDescent="0.2">
      <c r="B76" s="29"/>
      <c r="G76" s="18"/>
    </row>
    <row r="77" spans="1:13" x14ac:dyDescent="0.2">
      <c r="B77" s="30"/>
    </row>
    <row r="78" spans="1:13" x14ac:dyDescent="0.2">
      <c r="B78" s="29"/>
    </row>
    <row r="79" spans="1:13" x14ac:dyDescent="0.2">
      <c r="B79" s="2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Banca electronica 2017</vt:lpstr>
    </vt:vector>
  </TitlesOfParts>
  <Company>Banco de Mocambique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Eufrasio Carlos Sabonete</cp:lastModifiedBy>
  <dcterms:created xsi:type="dcterms:W3CDTF">2013-02-12T13:18:53Z</dcterms:created>
  <dcterms:modified xsi:type="dcterms:W3CDTF">2022-03-10T13:58:06Z</dcterms:modified>
</cp:coreProperties>
</file>
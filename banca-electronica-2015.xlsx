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DPG\Estatisticas\Estatisticas SNP\Estatisticas WEB\Banca Electrónica\"/>
    </mc:Choice>
  </mc:AlternateContent>
  <bookViews>
    <workbookView xWindow="3930" yWindow="120" windowWidth="9405" windowHeight="9990"/>
  </bookViews>
  <sheets>
    <sheet name="Banca electronica 2015" sheetId="1" r:id="rId1"/>
  </sheets>
  <calcPr calcId="152511"/>
</workbook>
</file>

<file path=xl/calcChain.xml><?xml version="1.0" encoding="utf-8"?>
<calcChain xmlns="http://schemas.openxmlformats.org/spreadsheetml/2006/main">
  <c r="C41" i="1" l="1"/>
  <c r="D41" i="1"/>
  <c r="E41" i="1"/>
  <c r="F41" i="1"/>
  <c r="G41" i="1"/>
  <c r="H41" i="1"/>
  <c r="I41" i="1"/>
  <c r="J41" i="1"/>
  <c r="K41" i="1"/>
  <c r="L41" i="1"/>
  <c r="M41" i="1"/>
  <c r="E36" i="1"/>
  <c r="F36" i="1"/>
  <c r="G36" i="1"/>
  <c r="H36" i="1"/>
  <c r="I36" i="1"/>
  <c r="J36" i="1"/>
  <c r="K36" i="1"/>
  <c r="L36" i="1"/>
  <c r="M36" i="1"/>
  <c r="N59" i="1" l="1"/>
  <c r="N51" i="1"/>
  <c r="N52" i="1"/>
  <c r="C36" i="1" l="1"/>
  <c r="D36" i="1"/>
  <c r="B36" i="1"/>
  <c r="B41" i="1"/>
  <c r="F18" i="1" l="1"/>
  <c r="E18" i="1"/>
  <c r="C13" i="1"/>
  <c r="I18" i="1" l="1"/>
  <c r="I6" i="1"/>
  <c r="H6" i="1"/>
  <c r="N42" i="1" l="1"/>
  <c r="N43" i="1"/>
  <c r="F31" i="1" l="1"/>
  <c r="G31" i="1"/>
  <c r="H31" i="1"/>
  <c r="I31" i="1"/>
  <c r="C31" i="1"/>
  <c r="D31" i="1"/>
  <c r="E31" i="1"/>
  <c r="G27" i="1" l="1"/>
  <c r="G26" i="1"/>
  <c r="G25" i="1"/>
  <c r="G24" i="1"/>
  <c r="G22" i="1"/>
  <c r="G21" i="1"/>
  <c r="G20" i="1"/>
  <c r="G19" i="1"/>
  <c r="G17" i="1"/>
  <c r="G18" i="1" s="1"/>
  <c r="F21" i="1"/>
  <c r="F27" i="1"/>
  <c r="F26" i="1"/>
  <c r="F25" i="1"/>
  <c r="F24" i="1"/>
  <c r="F22" i="1"/>
  <c r="F20" i="1"/>
  <c r="F19" i="1"/>
  <c r="E27" i="1"/>
  <c r="E26" i="1"/>
  <c r="E25" i="1"/>
  <c r="E24" i="1"/>
  <c r="E23" i="1"/>
  <c r="E22" i="1"/>
  <c r="E21" i="1"/>
  <c r="E20" i="1"/>
  <c r="E19" i="1"/>
  <c r="E17" i="1"/>
  <c r="D27" i="1"/>
  <c r="D26" i="1"/>
  <c r="D25" i="1"/>
  <c r="D24" i="1"/>
  <c r="D23" i="1"/>
  <c r="D22" i="1"/>
  <c r="D21" i="1"/>
  <c r="D20" i="1"/>
  <c r="D19" i="1"/>
  <c r="D18" i="1"/>
  <c r="D17" i="1"/>
  <c r="C27" i="1"/>
  <c r="C26" i="1"/>
  <c r="C25" i="1"/>
  <c r="C24" i="1"/>
  <c r="C23" i="1"/>
  <c r="C22" i="1"/>
  <c r="C21" i="1"/>
  <c r="C20" i="1"/>
  <c r="C19" i="1"/>
  <c r="C17" i="1"/>
  <c r="C18" i="1" s="1"/>
  <c r="F15" i="1" l="1"/>
  <c r="F6" i="1"/>
  <c r="F5" i="1"/>
  <c r="E6" i="1"/>
  <c r="D9" i="1"/>
  <c r="C14" i="1"/>
  <c r="C6" i="1"/>
  <c r="D7" i="1"/>
  <c r="D8" i="1"/>
  <c r="D10" i="1"/>
  <c r="D11" i="1"/>
  <c r="D12" i="1"/>
  <c r="D13" i="1"/>
  <c r="D14" i="1"/>
  <c r="D15" i="1"/>
  <c r="G15" i="1" l="1"/>
  <c r="G14" i="1"/>
  <c r="G13" i="1"/>
  <c r="G12" i="1"/>
  <c r="G11" i="1"/>
  <c r="G10" i="1"/>
  <c r="G9" i="1"/>
  <c r="G8" i="1"/>
  <c r="G7" i="1"/>
  <c r="G5" i="1"/>
  <c r="F14" i="1"/>
  <c r="F13" i="1"/>
  <c r="F12" i="1"/>
  <c r="F11" i="1"/>
  <c r="F10" i="1"/>
  <c r="F9" i="1"/>
  <c r="F8" i="1"/>
  <c r="F7" i="1"/>
  <c r="E15" i="1" l="1"/>
  <c r="E14" i="1"/>
  <c r="E13" i="1"/>
  <c r="E12" i="1"/>
  <c r="E11" i="1"/>
  <c r="E10" i="1"/>
  <c r="E9" i="1"/>
  <c r="E8" i="1"/>
  <c r="E7" i="1"/>
  <c r="C15" i="1"/>
  <c r="C12" i="1"/>
  <c r="C11" i="1"/>
  <c r="C10" i="1"/>
  <c r="C9" i="1"/>
  <c r="C8" i="1"/>
  <c r="C7" i="1"/>
  <c r="B13" i="1"/>
  <c r="B12" i="1"/>
  <c r="B11" i="1"/>
  <c r="B10" i="1"/>
  <c r="B9" i="1"/>
  <c r="B8" i="1"/>
  <c r="B7" i="1"/>
  <c r="B14" i="1"/>
  <c r="B15" i="1"/>
  <c r="B5" i="1"/>
  <c r="N55" i="1" l="1"/>
  <c r="N56" i="1"/>
  <c r="N57" i="1"/>
  <c r="N60" i="1" l="1"/>
  <c r="N63" i="1"/>
  <c r="N62" i="1"/>
  <c r="N61" i="1"/>
  <c r="N54" i="1"/>
  <c r="N53" i="1"/>
  <c r="J4" i="1" l="1"/>
  <c r="N35" i="1" l="1"/>
  <c r="N34" i="1"/>
  <c r="N33" i="1"/>
  <c r="N32" i="1"/>
  <c r="N27" i="1"/>
  <c r="N26" i="1"/>
  <c r="N25" i="1"/>
  <c r="N24" i="1"/>
  <c r="N23" i="1"/>
  <c r="N22" i="1"/>
  <c r="N21" i="1"/>
  <c r="N20" i="1"/>
  <c r="N19" i="1"/>
  <c r="N18" i="1"/>
  <c r="N17" i="1"/>
  <c r="N15" i="1"/>
  <c r="N14" i="1"/>
  <c r="N13" i="1"/>
  <c r="N12" i="1"/>
  <c r="N11" i="1"/>
  <c r="N10" i="1"/>
  <c r="N9" i="1"/>
  <c r="N8" i="1"/>
  <c r="N7" i="1"/>
  <c r="N6" i="1"/>
  <c r="N5" i="1"/>
  <c r="N30" i="1"/>
  <c r="N29" i="1"/>
  <c r="C28" i="1"/>
  <c r="D28" i="1"/>
  <c r="E28" i="1"/>
  <c r="F28" i="1"/>
  <c r="G28" i="1"/>
  <c r="H28" i="1"/>
  <c r="I28" i="1"/>
  <c r="J28" i="1"/>
  <c r="K28" i="1"/>
  <c r="L28" i="1"/>
  <c r="M28" i="1"/>
  <c r="N28" i="1" s="1"/>
  <c r="B28" i="1"/>
  <c r="J31" i="1" l="1"/>
  <c r="K31" i="1"/>
  <c r="L31" i="1"/>
  <c r="M31" i="1"/>
  <c r="N31" i="1" s="1"/>
  <c r="N37" i="1" l="1"/>
  <c r="N38" i="1"/>
  <c r="N39" i="1"/>
  <c r="N40" i="1"/>
  <c r="N44" i="1"/>
  <c r="N45" i="1"/>
  <c r="N47" i="1"/>
  <c r="N41" i="1" l="1"/>
  <c r="N36" i="1"/>
  <c r="L16" i="1"/>
  <c r="I4" i="1" l="1"/>
  <c r="B31" i="1"/>
  <c r="M4" i="1"/>
  <c r="N4" i="1" s="1"/>
  <c r="F4" i="1" l="1"/>
  <c r="G4" i="1"/>
  <c r="N48" i="1" l="1"/>
  <c r="M16" i="1" l="1"/>
  <c r="N16" i="1" s="1"/>
  <c r="K16" i="1"/>
  <c r="J16" i="1"/>
  <c r="I16" i="1"/>
  <c r="H16" i="1"/>
  <c r="G16" i="1"/>
  <c r="F16" i="1"/>
  <c r="E16" i="1"/>
  <c r="D16" i="1"/>
  <c r="C16" i="1"/>
  <c r="B16" i="1"/>
  <c r="L4" i="1"/>
  <c r="K4" i="1"/>
  <c r="H4" i="1"/>
  <c r="E4" i="1"/>
  <c r="D4" i="1"/>
  <c r="C4" i="1"/>
  <c r="B4" i="1"/>
  <c r="XFD16" i="1" l="1"/>
</calcChain>
</file>

<file path=xl/sharedStrings.xml><?xml version="1.0" encoding="utf-8"?>
<sst xmlns="http://schemas.openxmlformats.org/spreadsheetml/2006/main" count="70" uniqueCount="53">
  <si>
    <t>Número de Cartões</t>
  </si>
  <si>
    <t>Débito</t>
  </si>
  <si>
    <t>Crédito</t>
  </si>
  <si>
    <t>Total</t>
  </si>
  <si>
    <t>Número de máquinas</t>
  </si>
  <si>
    <t>ATM´s</t>
  </si>
  <si>
    <t>Cidade de Maputo</t>
  </si>
  <si>
    <t>Província de Maputo</t>
  </si>
  <si>
    <t>Gaza</t>
  </si>
  <si>
    <t>Inhambane</t>
  </si>
  <si>
    <t>Sofala</t>
  </si>
  <si>
    <t>Manica</t>
  </si>
  <si>
    <t>Tete</t>
  </si>
  <si>
    <t>Zambézia</t>
  </si>
  <si>
    <t>Nampula</t>
  </si>
  <si>
    <t>Cabo Delgado</t>
  </si>
  <si>
    <t>Niassa</t>
  </si>
  <si>
    <t>POS´s</t>
  </si>
  <si>
    <t>Transferências</t>
  </si>
  <si>
    <t>Levantamentos</t>
  </si>
  <si>
    <t>Pagamentos de Serviços</t>
  </si>
  <si>
    <t>Volume de transacções efectuadas em ATM</t>
  </si>
  <si>
    <t>Valor de transacções efectuadas em ATM</t>
  </si>
  <si>
    <t>Pré-Pagos</t>
  </si>
  <si>
    <t>Número de Contas</t>
  </si>
  <si>
    <t>Em Moeda nacional</t>
  </si>
  <si>
    <t>Em Moeda estrangeira</t>
  </si>
  <si>
    <t>Quantidade de subscritores</t>
  </si>
  <si>
    <t>Internet Banking</t>
  </si>
  <si>
    <t>Volume dos pagamentos  efectuados</t>
  </si>
  <si>
    <t>Valor dos pagamentos efectuados</t>
  </si>
  <si>
    <t>Volume das transferências efectuadas</t>
  </si>
  <si>
    <t>Valor das transferências efectuadas</t>
  </si>
  <si>
    <t>Valor de transacções efectuadas (pagamentos)</t>
  </si>
  <si>
    <t>Volume de transacções efectuadas  (pagamentos)</t>
  </si>
  <si>
    <t>Mobile Banking</t>
  </si>
  <si>
    <t>Volume das transferências efectuadas para contas</t>
  </si>
  <si>
    <t>Valor das transferências efectuadas para contas</t>
  </si>
  <si>
    <t>Valor das transferências efectuadas para contas para telemóveis</t>
  </si>
  <si>
    <t>Volume das transferências efectuadas para telemóveis</t>
  </si>
  <si>
    <t>Janeiro</t>
  </si>
  <si>
    <t>Fevereiro</t>
  </si>
  <si>
    <t>Março</t>
  </si>
  <si>
    <t>Abril</t>
  </si>
  <si>
    <t>Junho</t>
  </si>
  <si>
    <t>Maio</t>
  </si>
  <si>
    <t>Julho</t>
  </si>
  <si>
    <t>Agosto</t>
  </si>
  <si>
    <t>Setembro</t>
  </si>
  <si>
    <t>Outubro</t>
  </si>
  <si>
    <t>Novembro</t>
  </si>
  <si>
    <t>Dezembro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</si>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</sst>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_-* #,##0.00\ _€_-;\-* #,##0.00\ _€_-;_-* &quot;-&quot;??\ _€_-;_-@_-"/>
    <numFmt numFmtId="165" formatCode="_-* #,##0.00\ _M_T_-;\-* #,##0.00\ _M_T_-;_-* &quot;-&quot;??\ _M_T_-;_-@_-"/>
    <numFmt numFmtId="166" formatCode="[$-409]mmm\-yy;@"/>
    <numFmt numFmtId="167" formatCode="_-* #,##0\ _M_T_-;\-* #,##0\ _M_T_-;_-* &quot;-&quot;??\ _M_T_-;_-@_-"/>
    <numFmt numFmtId="168" formatCode="_-* #,##0.00\ _M_t_-;\-* #,##0.00\ _M_t_-;_-* &quot;-&quot;??\ _M_t_-;_-@_-"/>
    <numFmt numFmtId="169" formatCode="_ * #,##0.00_ ;_ * \-#,##0.00_ ;_ * &quot;-&quot;??_ ;_ @_ "/>
  </numFmts>
  <fonts count="46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6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6">
    <xf numFmtId="0" fontId="0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8" fillId="0" borderId="0"/>
    <xf numFmtId="0" fontId="8" fillId="0" borderId="0" applyFont="0" applyFill="0" applyBorder="0" applyAlignment="0" applyProtection="0"/>
    <xf numFmtId="0" fontId="8" fillId="0" borderId="0"/>
    <xf numFmtId="0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7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9" fillId="0" borderId="0">
      <alignment vertical="top"/>
    </xf>
    <xf numFmtId="0" fontId="9" fillId="0" borderId="0">
      <alignment vertical="top"/>
    </xf>
    <xf numFmtId="0" fontId="7" fillId="0" borderId="0"/>
    <xf numFmtId="168" fontId="8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168" fontId="8" fillId="0" borderId="0" applyFont="0" applyFill="0" applyBorder="0" applyAlignment="0" applyProtection="0"/>
    <xf numFmtId="0" fontId="8" fillId="0" borderId="0"/>
    <xf numFmtId="0" fontId="8" fillId="0" borderId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" fillId="0" borderId="0"/>
    <xf numFmtId="168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7" fillId="0" borderId="0"/>
    <xf numFmtId="0" fontId="8" fillId="0" borderId="0" applyFont="0" applyFill="0" applyBorder="0" applyAlignment="0" applyProtection="0"/>
    <xf numFmtId="0" fontId="8" fillId="0" borderId="0"/>
    <xf numFmtId="0" fontId="8" fillId="0" borderId="0" applyFont="0" applyFill="0" applyBorder="0" applyAlignment="0" applyProtection="0"/>
    <xf numFmtId="0" fontId="7" fillId="0" borderId="0"/>
    <xf numFmtId="0" fontId="7" fillId="0" borderId="0"/>
    <xf numFmtId="169" fontId="7" fillId="0" borderId="0" applyFont="0" applyFill="0" applyBorder="0" applyAlignment="0" applyProtection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9" fontId="7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8" fillId="0" borderId="0"/>
    <xf numFmtId="0" fontId="12" fillId="0" borderId="0" applyNumberFormat="0" applyFill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8" borderId="0" applyNumberFormat="0" applyBorder="0" applyAlignment="0" applyProtection="0"/>
    <xf numFmtId="0" fontId="17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11" borderId="7" applyNumberFormat="0" applyAlignment="0" applyProtection="0"/>
    <xf numFmtId="0" fontId="20" fillId="12" borderId="8" applyNumberFormat="0" applyAlignment="0" applyProtection="0"/>
    <xf numFmtId="0" fontId="21" fillId="12" borderId="7" applyNumberFormat="0" applyAlignment="0" applyProtection="0"/>
    <xf numFmtId="0" fontId="22" fillId="0" borderId="9" applyNumberFormat="0" applyFill="0" applyAlignment="0" applyProtection="0"/>
    <xf numFmtId="0" fontId="23" fillId="13" borderId="10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27" fillId="34" borderId="0" applyNumberFormat="0" applyBorder="0" applyAlignment="0" applyProtection="0"/>
    <xf numFmtId="0" fontId="2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27" fillId="38" borderId="0" applyNumberFormat="0" applyBorder="0" applyAlignment="0" applyProtection="0"/>
    <xf numFmtId="16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/>
    <xf numFmtId="0" fontId="28" fillId="0" borderId="0"/>
    <xf numFmtId="0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2" borderId="0" applyNumberFormat="0" applyBorder="0" applyAlignment="0" applyProtection="0"/>
    <xf numFmtId="0" fontId="29" fillId="45" borderId="0" applyNumberFormat="0" applyBorder="0" applyAlignment="0" applyProtection="0"/>
    <xf numFmtId="0" fontId="29" fillId="48" borderId="0" applyNumberFormat="0" applyBorder="0" applyAlignment="0" applyProtection="0"/>
    <xf numFmtId="0" fontId="30" fillId="49" borderId="0" applyNumberFormat="0" applyBorder="0" applyAlignment="0" applyProtection="0"/>
    <xf numFmtId="0" fontId="30" fillId="46" borderId="0" applyNumberFormat="0" applyBorder="0" applyAlignment="0" applyProtection="0"/>
    <xf numFmtId="0" fontId="30" fillId="47" borderId="0" applyNumberFormat="0" applyBorder="0" applyAlignment="0" applyProtection="0"/>
    <xf numFmtId="0" fontId="30" fillId="50" borderId="0" applyNumberFormat="0" applyBorder="0" applyAlignment="0" applyProtection="0"/>
    <xf numFmtId="0" fontId="30" fillId="51" borderId="0" applyNumberFormat="0" applyBorder="0" applyAlignment="0" applyProtection="0"/>
    <xf numFmtId="0" fontId="30" fillId="52" borderId="0" applyNumberFormat="0" applyBorder="0" applyAlignment="0" applyProtection="0"/>
    <xf numFmtId="0" fontId="30" fillId="53" borderId="0" applyNumberFormat="0" applyBorder="0" applyAlignment="0" applyProtection="0"/>
    <xf numFmtId="0" fontId="30" fillId="54" borderId="0" applyNumberFormat="0" applyBorder="0" applyAlignment="0" applyProtection="0"/>
    <xf numFmtId="0" fontId="30" fillId="55" borderId="0" applyNumberFormat="0" applyBorder="0" applyAlignment="0" applyProtection="0"/>
    <xf numFmtId="0" fontId="30" fillId="50" borderId="0" applyNumberFormat="0" applyBorder="0" applyAlignment="0" applyProtection="0"/>
    <xf numFmtId="0" fontId="30" fillId="51" borderId="0" applyNumberFormat="0" applyBorder="0" applyAlignment="0" applyProtection="0"/>
    <xf numFmtId="0" fontId="30" fillId="56" borderId="0" applyNumberFormat="0" applyBorder="0" applyAlignment="0" applyProtection="0"/>
    <xf numFmtId="0" fontId="31" fillId="40" borderId="0" applyNumberFormat="0" applyBorder="0" applyAlignment="0" applyProtection="0"/>
    <xf numFmtId="0" fontId="32" fillId="57" borderId="13" applyNumberFormat="0" applyAlignment="0" applyProtection="0"/>
    <xf numFmtId="0" fontId="33" fillId="58" borderId="14" applyNumberFormat="0" applyAlignment="0" applyProtection="0"/>
    <xf numFmtId="43" fontId="8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41" borderId="0" applyNumberFormat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44" borderId="13" applyNumberFormat="0" applyAlignment="0" applyProtection="0"/>
    <xf numFmtId="0" fontId="40" fillId="0" borderId="18" applyNumberFormat="0" applyFill="0" applyAlignment="0" applyProtection="0"/>
    <xf numFmtId="0" fontId="41" fillId="59" borderId="0" applyNumberFormat="0" applyBorder="0" applyAlignment="0" applyProtection="0"/>
    <xf numFmtId="0" fontId="8" fillId="60" borderId="19" applyNumberFormat="0" applyFont="0" applyAlignment="0" applyProtection="0"/>
    <xf numFmtId="0" fontId="42" fillId="57" borderId="20" applyNumberFormat="0" applyAlignment="0" applyProtection="0"/>
    <xf numFmtId="0" fontId="43" fillId="0" borderId="0" applyNumberFormat="0" applyFill="0" applyBorder="0" applyAlignment="0" applyProtection="0"/>
    <xf numFmtId="0" fontId="44" fillId="0" borderId="21" applyNumberFormat="0" applyFill="0" applyAlignment="0" applyProtection="0"/>
    <xf numFmtId="0" fontId="45" fillId="0" borderId="0" applyNumberFormat="0" applyFill="0" applyBorder="0" applyAlignment="0" applyProtection="0"/>
    <xf numFmtId="4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28" fillId="0" borderId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0" fontId="7" fillId="14" borderId="11" applyNumberFormat="0" applyFont="0" applyAlignment="0" applyProtection="0"/>
    <xf numFmtId="168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7" fillId="0" borderId="0"/>
    <xf numFmtId="16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7" fillId="0" borderId="0"/>
    <xf numFmtId="0" fontId="7" fillId="0" borderId="0"/>
    <xf numFmtId="9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10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0" fillId="0" borderId="0" applyFont="0" applyFill="0" applyBorder="0" applyAlignment="0" applyProtection="0"/>
  </cellStyleXfs>
  <cellXfs count="58">
    <xf numFmtId="0" fontId="0" fillId="0" borderId="0" xfId="0"/>
    <xf numFmtId="0" fontId="1" fillId="0" borderId="1" xfId="0" applyFont="1" applyFill="1" applyBorder="1"/>
    <xf numFmtId="0" fontId="1" fillId="0" borderId="0" xfId="0" applyFont="1" applyFill="1" applyBorder="1"/>
    <xf numFmtId="0" fontId="2" fillId="0" borderId="0" xfId="0" applyFont="1" applyBorder="1"/>
    <xf numFmtId="0" fontId="2" fillId="0" borderId="0" xfId="0" applyFont="1"/>
    <xf numFmtId="0" fontId="3" fillId="0" borderId="3" xfId="0" applyFont="1" applyBorder="1"/>
    <xf numFmtId="166" fontId="4" fillId="0" borderId="2" xfId="0" applyNumberFormat="1" applyFont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/>
    </xf>
    <xf numFmtId="0" fontId="4" fillId="3" borderId="1" xfId="0" applyFont="1" applyFill="1" applyBorder="1"/>
    <xf numFmtId="166" fontId="4" fillId="3" borderId="0" xfId="0" applyNumberFormat="1" applyFont="1" applyFill="1" applyBorder="1" applyAlignment="1">
      <alignment horizontal="right" vertical="center" wrapText="1"/>
    </xf>
    <xf numFmtId="0" fontId="6" fillId="0" borderId="0" xfId="0" applyFont="1"/>
    <xf numFmtId="0" fontId="3" fillId="0" borderId="1" xfId="0" applyFont="1" applyBorder="1"/>
    <xf numFmtId="3" fontId="6" fillId="0" borderId="0" xfId="0" applyNumberFormat="1" applyFont="1"/>
    <xf numFmtId="0" fontId="3" fillId="0" borderId="1" xfId="0" applyFont="1" applyFill="1" applyBorder="1" applyAlignment="1">
      <alignment horizontal="left" indent="1"/>
    </xf>
    <xf numFmtId="0" fontId="4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indent="1"/>
    </xf>
    <xf numFmtId="0" fontId="2" fillId="0" borderId="1" xfId="0" applyFont="1" applyBorder="1"/>
    <xf numFmtId="0" fontId="2" fillId="0" borderId="0" xfId="0" applyFont="1" applyFill="1"/>
    <xf numFmtId="0" fontId="4" fillId="4" borderId="1" xfId="0" applyFont="1" applyFill="1" applyBorder="1"/>
    <xf numFmtId="0" fontId="4" fillId="0" borderId="0" xfId="0" applyFont="1" applyFill="1" applyBorder="1" applyAlignment="1">
      <alignment horizontal="left"/>
    </xf>
    <xf numFmtId="3" fontId="2" fillId="0" borderId="0" xfId="0" applyNumberFormat="1" applyFont="1"/>
    <xf numFmtId="167" fontId="5" fillId="4" borderId="0" xfId="1" applyNumberFormat="1" applyFont="1" applyFill="1" applyBorder="1"/>
    <xf numFmtId="167" fontId="3" fillId="0" borderId="0" xfId="1" applyNumberFormat="1" applyFont="1" applyBorder="1" applyAlignment="1">
      <alignment horizontal="right"/>
    </xf>
    <xf numFmtId="167" fontId="2" fillId="0" borderId="0" xfId="1" applyNumberFormat="1" applyFont="1"/>
    <xf numFmtId="167" fontId="1" fillId="0" borderId="0" xfId="1" applyNumberFormat="1" applyFont="1" applyBorder="1"/>
    <xf numFmtId="167" fontId="4" fillId="3" borderId="1" xfId="1" applyNumberFormat="1" applyFont="1" applyFill="1" applyBorder="1"/>
    <xf numFmtId="167" fontId="3" fillId="0" borderId="0" xfId="1" applyNumberFormat="1" applyFont="1" applyFill="1" applyBorder="1" applyAlignment="1">
      <alignment horizontal="right"/>
    </xf>
    <xf numFmtId="167" fontId="3" fillId="3" borderId="0" xfId="1" applyNumberFormat="1" applyFont="1" applyFill="1" applyBorder="1" applyAlignment="1">
      <alignment horizontal="right"/>
    </xf>
    <xf numFmtId="0" fontId="2" fillId="5" borderId="0" xfId="0" applyFont="1" applyFill="1"/>
    <xf numFmtId="0" fontId="3" fillId="6" borderId="1" xfId="0" applyFont="1" applyFill="1" applyBorder="1"/>
    <xf numFmtId="0" fontId="2" fillId="6" borderId="0" xfId="0" applyFont="1" applyFill="1"/>
    <xf numFmtId="0" fontId="3" fillId="0" borderId="1" xfId="0" applyFont="1" applyFill="1" applyBorder="1"/>
    <xf numFmtId="0" fontId="4" fillId="6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167" fontId="2" fillId="3" borderId="0" xfId="1" applyNumberFormat="1" applyFont="1" applyFill="1"/>
    <xf numFmtId="165" fontId="3" fillId="0" borderId="0" xfId="1" applyFont="1" applyFill="1" applyBorder="1" applyAlignment="1">
      <alignment horizontal="right"/>
    </xf>
    <xf numFmtId="165" fontId="2" fillId="0" borderId="0" xfId="1" applyFont="1"/>
    <xf numFmtId="165" fontId="2" fillId="0" borderId="0" xfId="1" applyFont="1" applyFill="1"/>
    <xf numFmtId="167" fontId="1" fillId="0" borderId="0" xfId="1" applyNumberFormat="1" applyFont="1" applyFill="1" applyBorder="1"/>
    <xf numFmtId="167" fontId="4" fillId="3" borderId="0" xfId="1" applyNumberFormat="1" applyFont="1" applyFill="1" applyBorder="1" applyAlignment="1">
      <alignment horizontal="right"/>
    </xf>
    <xf numFmtId="167" fontId="0" fillId="0" borderId="0" xfId="1" applyNumberFormat="1" applyFont="1"/>
    <xf numFmtId="167" fontId="0" fillId="0" borderId="0" xfId="0" applyNumberFormat="1"/>
    <xf numFmtId="167" fontId="4" fillId="3" borderId="1" xfId="1" applyNumberFormat="1" applyFont="1" applyFill="1" applyBorder="1" applyAlignment="1">
      <alignment horizontal="left"/>
    </xf>
    <xf numFmtId="167" fontId="3" fillId="0" borderId="0" xfId="1" applyNumberFormat="1" applyFont="1" applyFill="1" applyBorder="1" applyAlignment="1">
      <alignment horizontal="center"/>
    </xf>
    <xf numFmtId="167" fontId="2" fillId="7" borderId="0" xfId="1" applyNumberFormat="1" applyFont="1" applyFill="1"/>
    <xf numFmtId="167" fontId="2" fillId="0" borderId="0" xfId="1" applyNumberFormat="1" applyFont="1" applyBorder="1"/>
    <xf numFmtId="167" fontId="2" fillId="6" borderId="0" xfId="1" applyNumberFormat="1" applyFont="1" applyFill="1"/>
    <xf numFmtId="167" fontId="2" fillId="0" borderId="0" xfId="1" applyNumberFormat="1" applyFont="1" applyAlignment="1">
      <alignment horizontal="center"/>
    </xf>
    <xf numFmtId="167" fontId="3" fillId="6" borderId="0" xfId="1" applyNumberFormat="1" applyFont="1" applyFill="1" applyBorder="1" applyAlignment="1">
      <alignment horizontal="right"/>
    </xf>
    <xf numFmtId="167" fontId="6" fillId="0" borderId="0" xfId="1" applyNumberFormat="1" applyFont="1"/>
    <xf numFmtId="167" fontId="6" fillId="0" borderId="0" xfId="1" applyNumberFormat="1" applyFont="1" applyBorder="1"/>
    <xf numFmtId="167" fontId="2" fillId="0" borderId="0" xfId="1" applyNumberFormat="1" applyFont="1" applyFill="1"/>
    <xf numFmtId="167" fontId="4" fillId="3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right"/>
    </xf>
    <xf numFmtId="167" fontId="2" fillId="0" borderId="0" xfId="1" applyNumberFormat="1" applyFont="1" applyFill="1" applyBorder="1" applyAlignment="1">
      <alignment horizontal="right"/>
    </xf>
    <xf numFmtId="167" fontId="0" fillId="0" borderId="0" xfId="0" applyNumberFormat="1"/>
    <xf numFmtId="165" fontId="4" fillId="3" borderId="0" xfId="1" applyFont="1" applyFill="1" applyBorder="1" applyAlignment="1">
      <alignment horizontal="right"/>
    </xf>
    <xf numFmtId="165" fontId="3" fillId="6" borderId="0" xfId="1" applyFont="1" applyFill="1" applyBorder="1" applyAlignment="1">
      <alignment horizontal="right"/>
    </xf>
  </cellXfs>
  <cellStyles count="206">
    <cellStyle name="20% - Accent1" xfId="85" builtinId="30" customBuiltin="1"/>
    <cellStyle name="20% - Accent1 2" xfId="121"/>
    <cellStyle name="20% - Accent2" xfId="89" builtinId="34" customBuiltin="1"/>
    <cellStyle name="20% - Accent2 2" xfId="122"/>
    <cellStyle name="20% - Accent3" xfId="93" builtinId="38" customBuiltin="1"/>
    <cellStyle name="20% - Accent3 2" xfId="123"/>
    <cellStyle name="20% - Accent4" xfId="97" builtinId="42" customBuiltin="1"/>
    <cellStyle name="20% - Accent4 2" xfId="124"/>
    <cellStyle name="20% - Accent5" xfId="101" builtinId="46" customBuiltin="1"/>
    <cellStyle name="20% - Accent5 2" xfId="125"/>
    <cellStyle name="20% - Accent6" xfId="105" builtinId="50" customBuiltin="1"/>
    <cellStyle name="20% - Accent6 2" xfId="126"/>
    <cellStyle name="40% - Accent1" xfId="86" builtinId="31" customBuiltin="1"/>
    <cellStyle name="40% - Accent1 2" xfId="127"/>
    <cellStyle name="40% - Accent2" xfId="90" builtinId="35" customBuiltin="1"/>
    <cellStyle name="40% - Accent2 2" xfId="128"/>
    <cellStyle name="40% - Accent3" xfId="94" builtinId="39" customBuiltin="1"/>
    <cellStyle name="40% - Accent3 2" xfId="129"/>
    <cellStyle name="40% - Accent4" xfId="98" builtinId="43" customBuiltin="1"/>
    <cellStyle name="40% - Accent4 2" xfId="130"/>
    <cellStyle name="40% - Accent5" xfId="102" builtinId="47" customBuiltin="1"/>
    <cellStyle name="40% - Accent5 2" xfId="131"/>
    <cellStyle name="40% - Accent6" xfId="106" builtinId="51" customBuiltin="1"/>
    <cellStyle name="40% - Accent6 2" xfId="132"/>
    <cellStyle name="60% - Accent1" xfId="87" builtinId="32" customBuiltin="1"/>
    <cellStyle name="60% - Accent1 2" xfId="133"/>
    <cellStyle name="60% - Accent2" xfId="91" builtinId="36" customBuiltin="1"/>
    <cellStyle name="60% - Accent2 2" xfId="134"/>
    <cellStyle name="60% - Accent3" xfId="95" builtinId="40" customBuiltin="1"/>
    <cellStyle name="60% - Accent3 2" xfId="135"/>
    <cellStyle name="60% - Accent4" xfId="99" builtinId="44" customBuiltin="1"/>
    <cellStyle name="60% - Accent4 2" xfId="136"/>
    <cellStyle name="60% - Accent5" xfId="103" builtinId="48" customBuiltin="1"/>
    <cellStyle name="60% - Accent5 2" xfId="137"/>
    <cellStyle name="60% - Accent6" xfId="107" builtinId="52" customBuiltin="1"/>
    <cellStyle name="60% - Accent6 2" xfId="138"/>
    <cellStyle name="Accent1" xfId="84" builtinId="29" customBuiltin="1"/>
    <cellStyle name="Accent1 2" xfId="139"/>
    <cellStyle name="Accent2" xfId="88" builtinId="33" customBuiltin="1"/>
    <cellStyle name="Accent2 2" xfId="140"/>
    <cellStyle name="Accent3" xfId="92" builtinId="37" customBuiltin="1"/>
    <cellStyle name="Accent3 2" xfId="141"/>
    <cellStyle name="Accent4" xfId="96" builtinId="41" customBuiltin="1"/>
    <cellStyle name="Accent4 2" xfId="142"/>
    <cellStyle name="Accent5" xfId="100" builtinId="45" customBuiltin="1"/>
    <cellStyle name="Accent5 2" xfId="143"/>
    <cellStyle name="Accent6" xfId="104" builtinId="49" customBuiltin="1"/>
    <cellStyle name="Accent6 2" xfId="144"/>
    <cellStyle name="Bad" xfId="74" builtinId="27" customBuiltin="1"/>
    <cellStyle name="Bad 2" xfId="145"/>
    <cellStyle name="Calculation" xfId="78" builtinId="22" customBuiltin="1"/>
    <cellStyle name="Calculation 2" xfId="146"/>
    <cellStyle name="Check Cell" xfId="80" builtinId="23" customBuiltin="1"/>
    <cellStyle name="Check Cell 2" xfId="147"/>
    <cellStyle name="Comma" xfId="1" builtinId="3"/>
    <cellStyle name="Comma 10" xfId="174"/>
    <cellStyle name="Comma 11" xfId="175"/>
    <cellStyle name="Comma 12" xfId="179"/>
    <cellStyle name="Comma 13" xfId="193"/>
    <cellStyle name="Comma 2" xfId="4"/>
    <cellStyle name="Comma 2 2" xfId="6"/>
    <cellStyle name="Comma 2 2 2" xfId="41"/>
    <cellStyle name="Comma 2 2 2 2" xfId="188"/>
    <cellStyle name="Comma 2 2 2 3" xfId="114"/>
    <cellStyle name="Comma 2 2 3" xfId="38"/>
    <cellStyle name="Comma 2 2 3 2" xfId="57"/>
    <cellStyle name="Comma 2 2 3 3" xfId="187"/>
    <cellStyle name="Comma 2 2 3 4" xfId="180"/>
    <cellStyle name="Comma 2 2 4" xfId="110"/>
    <cellStyle name="Comma 2 3" xfId="43"/>
    <cellStyle name="Comma 2 3 2" xfId="118"/>
    <cellStyle name="Comma 2 3 3" xfId="111"/>
    <cellStyle name="Comma 2 4" xfId="36"/>
    <cellStyle name="Comma 2 4 2" xfId="55"/>
    <cellStyle name="Comma 3" xfId="9"/>
    <cellStyle name="Comma 3 2" xfId="17"/>
    <cellStyle name="Comma 3 2 2" xfId="189"/>
    <cellStyle name="Comma 3 2 3" xfId="115"/>
    <cellStyle name="Comma 3 3" xfId="34"/>
    <cellStyle name="Comma 3 3 2" xfId="54"/>
    <cellStyle name="Comma 3 3 3" xfId="185"/>
    <cellStyle name="Comma 3 3 4" xfId="176"/>
    <cellStyle name="Comma 3 4" xfId="201"/>
    <cellStyle name="Comma 3_BOM" xfId="183"/>
    <cellStyle name="Comma 4" xfId="10"/>
    <cellStyle name="Comma 4 2" xfId="21"/>
    <cellStyle name="Comma 4 2 2" xfId="39"/>
    <cellStyle name="Comma 4 2 3" xfId="112"/>
    <cellStyle name="Comma 4 3" xfId="25"/>
    <cellStyle name="Comma 4 3 2" xfId="56"/>
    <cellStyle name="Comma 4 3 3" xfId="37"/>
    <cellStyle name="Comma 4 3 4" xfId="165"/>
    <cellStyle name="Comma 4 3 5" xfId="113"/>
    <cellStyle name="Comma 4 4" xfId="29"/>
    <cellStyle name="Comma 4 4 2" xfId="197"/>
    <cellStyle name="Comma 4 4 3" xfId="119"/>
    <cellStyle name="Comma 4 5" xfId="32"/>
    <cellStyle name="Comma 4 5 2" xfId="203"/>
    <cellStyle name="Comma 4 5 3" xfId="177"/>
    <cellStyle name="Comma 4 6" xfId="66"/>
    <cellStyle name="Comma 4 6 2" xfId="205"/>
    <cellStyle name="Comma 4 6 3" xfId="181"/>
    <cellStyle name="Comma 4 7" xfId="182"/>
    <cellStyle name="Comma 4 8" xfId="196"/>
    <cellStyle name="Comma 4 9" xfId="204"/>
    <cellStyle name="Comma 5" xfId="11"/>
    <cellStyle name="Comma 5 2" xfId="30"/>
    <cellStyle name="Comma 5 2 2" xfId="202"/>
    <cellStyle name="Comma 5 2 3" xfId="194"/>
    <cellStyle name="Comma 5 3" xfId="64"/>
    <cellStyle name="Comma 6" xfId="14"/>
    <cellStyle name="Comma 6 2" xfId="46"/>
    <cellStyle name="Comma 6 3" xfId="108"/>
    <cellStyle name="Comma 6 4" xfId="148"/>
    <cellStyle name="Comma 7" xfId="16"/>
    <cellStyle name="Comma 7 2" xfId="164"/>
    <cellStyle name="Comma 7 3" xfId="163"/>
    <cellStyle name="Comma 8" xfId="28"/>
    <cellStyle name="Comma 8 2" xfId="166"/>
    <cellStyle name="Comma 8 3" xfId="109"/>
    <cellStyle name="Comma 9" xfId="2"/>
    <cellStyle name="Comma 9 2" xfId="172"/>
    <cellStyle name="Explanatory Text" xfId="82" builtinId="53" customBuiltin="1"/>
    <cellStyle name="Explanatory Text 2" xfId="149"/>
    <cellStyle name="Good" xfId="73" builtinId="26" customBuiltin="1"/>
    <cellStyle name="Good 2" xfId="150"/>
    <cellStyle name="Heading 1" xfId="69" builtinId="16" customBuiltin="1"/>
    <cellStyle name="Heading 1 2" xfId="151"/>
    <cellStyle name="Heading 2" xfId="70" builtinId="17" customBuiltin="1"/>
    <cellStyle name="Heading 2 2" xfId="152"/>
    <cellStyle name="Heading 3" xfId="71" builtinId="18" customBuiltin="1"/>
    <cellStyle name="Heading 3 2" xfId="153"/>
    <cellStyle name="Heading 4" xfId="72" builtinId="19" customBuiltin="1"/>
    <cellStyle name="Heading 4 2" xfId="154"/>
    <cellStyle name="Input" xfId="76" builtinId="20" customBuiltin="1"/>
    <cellStyle name="Input 2" xfId="155"/>
    <cellStyle name="Linked Cell" xfId="79" builtinId="24" customBuiltin="1"/>
    <cellStyle name="Linked Cell 2" xfId="156"/>
    <cellStyle name="Neutral" xfId="75" builtinId="28" customBuiltin="1"/>
    <cellStyle name="Neutral 2" xfId="157"/>
    <cellStyle name="Normal" xfId="0" builtinId="0"/>
    <cellStyle name="Normal 10" xfId="27"/>
    <cellStyle name="Normal 10 2" xfId="45"/>
    <cellStyle name="Normal 10 3" xfId="200"/>
    <cellStyle name="Normal 11" xfId="18"/>
    <cellStyle name="Normal 12" xfId="31"/>
    <cellStyle name="Normal 2" xfId="5"/>
    <cellStyle name="Normal 2 2" xfId="7"/>
    <cellStyle name="Normal 2 2 2" xfId="19"/>
    <cellStyle name="Normal 2 3" xfId="47"/>
    <cellStyle name="Normal 2 4" xfId="116"/>
    <cellStyle name="Normal 2_BOM" xfId="67"/>
    <cellStyle name="Normal 3" xfId="3"/>
    <cellStyle name="Normal 3 2" xfId="20"/>
    <cellStyle name="Normal 3 2 2" xfId="40"/>
    <cellStyle name="Normal 3 2 2 2" xfId="58"/>
    <cellStyle name="Normal 3 2 3" xfId="48"/>
    <cellStyle name="Normal 3 3" xfId="173"/>
    <cellStyle name="Normal 3_BOM" xfId="184"/>
    <cellStyle name="Normal 4" xfId="8"/>
    <cellStyle name="Normal 4 2" xfId="22"/>
    <cellStyle name="Normal 4 2 2" xfId="60"/>
    <cellStyle name="Normal 4 2 3" xfId="190"/>
    <cellStyle name="Normal 4 2 4" xfId="117"/>
    <cellStyle name="Normal 4 3" xfId="49"/>
    <cellStyle name="Normal 4 3 2" xfId="191"/>
    <cellStyle name="Normal 4 3 3" xfId="167"/>
    <cellStyle name="Normal 4 4" xfId="65"/>
    <cellStyle name="Normal 4 4 2" xfId="198"/>
    <cellStyle name="Normal 4 4 3" xfId="178"/>
    <cellStyle name="Normal 4 5" xfId="195"/>
    <cellStyle name="Normal 5" xfId="13"/>
    <cellStyle name="Normal 5 2" xfId="23"/>
    <cellStyle name="Normal 5 2 2" xfId="61"/>
    <cellStyle name="Normal 5 3" xfId="50"/>
    <cellStyle name="Normal 6" xfId="12"/>
    <cellStyle name="Normal 6 2" xfId="44"/>
    <cellStyle name="Normal 6 2 2" xfId="62"/>
    <cellStyle name="Normal 6 3" xfId="51"/>
    <cellStyle name="Normal 7" xfId="15"/>
    <cellStyle name="Normal 7 2" xfId="59"/>
    <cellStyle name="Normal 7 3" xfId="42"/>
    <cellStyle name="Normal 8" xfId="24"/>
    <cellStyle name="Normal 8 2" xfId="53"/>
    <cellStyle name="Normal 8 3" xfId="33"/>
    <cellStyle name="Normal 9" xfId="26"/>
    <cellStyle name="Normal 9 2" xfId="63"/>
    <cellStyle name="Normal 9 3" xfId="199"/>
    <cellStyle name="Note 2" xfId="158"/>
    <cellStyle name="Note 2 2" xfId="168"/>
    <cellStyle name="Note 3" xfId="169"/>
    <cellStyle name="Note 4" xfId="170"/>
    <cellStyle name="Note 5" xfId="171"/>
    <cellStyle name="Output" xfId="77" builtinId="21" customBuiltin="1"/>
    <cellStyle name="Output 2" xfId="159"/>
    <cellStyle name="Percent 2" xfId="35"/>
    <cellStyle name="Percent 2 2" xfId="186"/>
    <cellStyle name="Percent 2 3" xfId="120"/>
    <cellStyle name="Percent 3" xfId="52"/>
    <cellStyle name="Percent 3 2" xfId="192"/>
    <cellStyle name="Title" xfId="68" builtinId="15" customBuiltin="1"/>
    <cellStyle name="Title 2" xfId="160"/>
    <cellStyle name="Total" xfId="83" builtinId="25" customBuiltin="1"/>
    <cellStyle name="Total 2" xfId="161"/>
    <cellStyle name="Warning Text" xfId="81" builtinId="11" customBuiltin="1"/>
    <cellStyle name="Warning Text 2" xfId="16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76"/>
  <sheetViews>
    <sheetView tabSelected="1" workbookViewId="0">
      <pane xSplit="1" ySplit="4" topLeftCell="E5" activePane="bottomRight" state="frozen"/>
      <selection pane="topRight" activeCell="B1" sqref="B1"/>
      <selection pane="bottomLeft" activeCell="A5" sqref="A5"/>
      <selection pane="bottomRight" activeCell="J24" sqref="J24"/>
    </sheetView>
  </sheetViews>
  <sheetFormatPr defaultRowHeight="12" x14ac:dyDescent="0.2"/>
  <cols>
    <col min="1" max="1" width="58.28515625" style="4" customWidth="1"/>
    <col min="2" max="2" width="16.5703125" style="4" bestFit="1" customWidth="1"/>
    <col min="3" max="3" width="16.42578125" style="4" bestFit="1" customWidth="1"/>
    <col min="4" max="5" width="16.7109375" style="4" bestFit="1" customWidth="1"/>
    <col min="6" max="7" width="16.85546875" style="4" bestFit="1" customWidth="1"/>
    <col min="8" max="8" width="17.5703125" style="4" bestFit="1" customWidth="1"/>
    <col min="9" max="9" width="17.42578125" style="4" bestFit="1" customWidth="1"/>
    <col min="10" max="12" width="16.5703125" style="4" bestFit="1" customWidth="1"/>
    <col min="13" max="13" width="17.42578125" style="4" bestFit="1" customWidth="1"/>
    <col min="14" max="14" width="17.5703125" style="4" bestFit="1" customWidth="1"/>
    <col min="15" max="16384" width="9.140625" style="4"/>
  </cols>
  <sheetData>
    <row r="1" spans="1:15 16384:16384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 16384:16384" x14ac:dyDescent="0.2">
      <c r="A2" s="5"/>
      <c r="B2" s="6" t="s">
        <v>40</v>
      </c>
      <c r="C2" s="6" t="s">
        <v>41</v>
      </c>
      <c r="D2" s="6" t="s">
        <v>42</v>
      </c>
      <c r="E2" s="6" t="s">
        <v>43</v>
      </c>
      <c r="F2" s="6" t="s">
        <v>45</v>
      </c>
      <c r="G2" s="6" t="s">
        <v>44</v>
      </c>
      <c r="H2" s="6" t="s">
        <v>46</v>
      </c>
      <c r="I2" s="6" t="s">
        <v>47</v>
      </c>
      <c r="J2" s="6" t="s">
        <v>48</v>
      </c>
      <c r="K2" s="6" t="s">
        <v>49</v>
      </c>
      <c r="L2" s="6" t="s">
        <v>50</v>
      </c>
      <c r="M2" s="6" t="s">
        <v>51</v>
      </c>
      <c r="N2" s="7" t="s">
        <v>3</v>
      </c>
      <c r="O2" s="3"/>
    </row>
    <row r="3" spans="1:15 16384:16384" x14ac:dyDescent="0.2">
      <c r="A3" s="8" t="s">
        <v>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"/>
    </row>
    <row r="4" spans="1:15 16384:16384" s="10" customFormat="1" x14ac:dyDescent="0.2">
      <c r="A4" s="18" t="s">
        <v>5</v>
      </c>
      <c r="B4" s="21">
        <f t="shared" ref="B4:M4" si="0">SUM(B5:B15)</f>
        <v>1312</v>
      </c>
      <c r="C4" s="21">
        <f t="shared" si="0"/>
        <v>1324</v>
      </c>
      <c r="D4" s="21">
        <f t="shared" si="0"/>
        <v>1348</v>
      </c>
      <c r="E4" s="21">
        <f t="shared" si="0"/>
        <v>1360</v>
      </c>
      <c r="F4" s="21">
        <f t="shared" si="0"/>
        <v>1396</v>
      </c>
      <c r="G4" s="21">
        <f t="shared" si="0"/>
        <v>1414</v>
      </c>
      <c r="H4" s="21">
        <f t="shared" si="0"/>
        <v>1430</v>
      </c>
      <c r="I4" s="21">
        <f t="shared" si="0"/>
        <v>1433</v>
      </c>
      <c r="J4" s="21">
        <f>SUM(J5:J15)</f>
        <v>1455</v>
      </c>
      <c r="K4" s="21">
        <f t="shared" si="0"/>
        <v>1469</v>
      </c>
      <c r="L4" s="21">
        <f t="shared" si="0"/>
        <v>1509</v>
      </c>
      <c r="M4" s="21">
        <f t="shared" si="0"/>
        <v>1576</v>
      </c>
      <c r="N4" s="21">
        <f>SUM(M4+0)</f>
        <v>1576</v>
      </c>
      <c r="O4" s="50"/>
    </row>
    <row r="5" spans="1:15 16384:16384" x14ac:dyDescent="0.2">
      <c r="A5" s="11" t="s">
        <v>6</v>
      </c>
      <c r="B5" s="22">
        <f>269+203</f>
        <v>472</v>
      </c>
      <c r="C5" s="22">
        <v>477</v>
      </c>
      <c r="D5" s="22">
        <v>484</v>
      </c>
      <c r="E5" s="22">
        <v>483</v>
      </c>
      <c r="F5" s="23">
        <f>294+206</f>
        <v>500</v>
      </c>
      <c r="G5" s="22">
        <f>298+213</f>
        <v>511</v>
      </c>
      <c r="H5" s="24">
        <v>515</v>
      </c>
      <c r="I5" s="24">
        <v>516</v>
      </c>
      <c r="J5" s="24">
        <v>519</v>
      </c>
      <c r="K5" s="24">
        <v>523</v>
      </c>
      <c r="L5" s="24">
        <v>535</v>
      </c>
      <c r="M5" s="24">
        <v>556</v>
      </c>
      <c r="N5" s="24">
        <f t="shared" ref="N5:N27" si="1">SUM(M5+0)</f>
        <v>556</v>
      </c>
      <c r="O5" s="45"/>
    </row>
    <row r="6" spans="1:15 16384:16384" x14ac:dyDescent="0.2">
      <c r="A6" s="11" t="s">
        <v>7</v>
      </c>
      <c r="B6" s="22">
        <v>155</v>
      </c>
      <c r="C6" s="22">
        <f>635-475</f>
        <v>160</v>
      </c>
      <c r="D6" s="22">
        <v>162</v>
      </c>
      <c r="E6" s="22">
        <f>646-481</f>
        <v>165</v>
      </c>
      <c r="F6" s="23">
        <f>669-500</f>
        <v>169</v>
      </c>
      <c r="G6" s="22">
        <v>172</v>
      </c>
      <c r="H6" s="24">
        <f>692-515</f>
        <v>177</v>
      </c>
      <c r="I6" s="24">
        <f>695-516</f>
        <v>179</v>
      </c>
      <c r="J6" s="24">
        <v>183</v>
      </c>
      <c r="K6" s="24">
        <v>188</v>
      </c>
      <c r="L6" s="24">
        <v>198</v>
      </c>
      <c r="M6" s="24">
        <v>208</v>
      </c>
      <c r="N6" s="24">
        <f t="shared" si="1"/>
        <v>208</v>
      </c>
      <c r="O6" s="45"/>
    </row>
    <row r="7" spans="1:15 16384:16384" x14ac:dyDescent="0.2">
      <c r="A7" s="11" t="s">
        <v>8</v>
      </c>
      <c r="B7" s="22">
        <f>40+30</f>
        <v>70</v>
      </c>
      <c r="C7" s="22">
        <f>40+30</f>
        <v>70</v>
      </c>
      <c r="D7" s="22">
        <f>41+31</f>
        <v>72</v>
      </c>
      <c r="E7" s="22">
        <f>41+31</f>
        <v>72</v>
      </c>
      <c r="F7" s="23">
        <f>40+31</f>
        <v>71</v>
      </c>
      <c r="G7" s="22">
        <f>43+30</f>
        <v>73</v>
      </c>
      <c r="H7" s="24">
        <v>73</v>
      </c>
      <c r="I7" s="24">
        <v>73</v>
      </c>
      <c r="J7" s="24">
        <v>73</v>
      </c>
      <c r="K7" s="24">
        <v>75</v>
      </c>
      <c r="L7" s="24">
        <v>75</v>
      </c>
      <c r="M7" s="24">
        <v>77</v>
      </c>
      <c r="N7" s="24">
        <f t="shared" si="1"/>
        <v>77</v>
      </c>
      <c r="O7" s="45"/>
    </row>
    <row r="8" spans="1:15 16384:16384" x14ac:dyDescent="0.2">
      <c r="A8" s="11" t="s">
        <v>9</v>
      </c>
      <c r="B8" s="22">
        <f>35+31</f>
        <v>66</v>
      </c>
      <c r="C8" s="22">
        <f>35+31</f>
        <v>66</v>
      </c>
      <c r="D8" s="22">
        <f>38+31</f>
        <v>69</v>
      </c>
      <c r="E8" s="22">
        <f>38+31</f>
        <v>69</v>
      </c>
      <c r="F8" s="23">
        <f>37+31</f>
        <v>68</v>
      </c>
      <c r="G8" s="22">
        <f>37+35</f>
        <v>72</v>
      </c>
      <c r="H8" s="24">
        <v>74</v>
      </c>
      <c r="I8" s="24">
        <v>74</v>
      </c>
      <c r="J8" s="24">
        <v>74</v>
      </c>
      <c r="K8" s="24">
        <v>75</v>
      </c>
      <c r="L8" s="24">
        <v>75</v>
      </c>
      <c r="M8" s="24">
        <v>75</v>
      </c>
      <c r="N8" s="24">
        <f t="shared" si="1"/>
        <v>75</v>
      </c>
      <c r="O8" s="45"/>
    </row>
    <row r="9" spans="1:15 16384:16384" x14ac:dyDescent="0.2">
      <c r="A9" s="11" t="s">
        <v>10</v>
      </c>
      <c r="B9" s="22">
        <f>52+56</f>
        <v>108</v>
      </c>
      <c r="C9" s="22">
        <f>52+56</f>
        <v>108</v>
      </c>
      <c r="D9" s="22">
        <f>42+56</f>
        <v>98</v>
      </c>
      <c r="E9" s="22">
        <f>54+56</f>
        <v>110</v>
      </c>
      <c r="F9" s="23">
        <f>54+56</f>
        <v>110</v>
      </c>
      <c r="G9" s="22">
        <f>49+61</f>
        <v>110</v>
      </c>
      <c r="H9" s="24">
        <v>112</v>
      </c>
      <c r="I9" s="24">
        <v>112</v>
      </c>
      <c r="J9" s="24">
        <v>114</v>
      </c>
      <c r="K9" s="24">
        <v>115</v>
      </c>
      <c r="L9" s="24">
        <v>117</v>
      </c>
      <c r="M9" s="24">
        <v>126</v>
      </c>
      <c r="N9" s="24">
        <f t="shared" si="1"/>
        <v>126</v>
      </c>
      <c r="O9" s="23"/>
    </row>
    <row r="10" spans="1:15 16384:16384" x14ac:dyDescent="0.2">
      <c r="A10" s="11" t="s">
        <v>11</v>
      </c>
      <c r="B10" s="22">
        <f>21+24</f>
        <v>45</v>
      </c>
      <c r="C10" s="22">
        <f>23+24</f>
        <v>47</v>
      </c>
      <c r="D10" s="22">
        <f>22+24</f>
        <v>46</v>
      </c>
      <c r="E10" s="22">
        <f>22+25</f>
        <v>47</v>
      </c>
      <c r="F10" s="23">
        <f>27+25</f>
        <v>52</v>
      </c>
      <c r="G10" s="22">
        <f>27+25</f>
        <v>52</v>
      </c>
      <c r="H10" s="24">
        <v>52</v>
      </c>
      <c r="I10" s="24">
        <v>52</v>
      </c>
      <c r="J10" s="24">
        <v>52</v>
      </c>
      <c r="K10" s="24">
        <v>52</v>
      </c>
      <c r="L10" s="24">
        <v>54</v>
      </c>
      <c r="M10" s="24">
        <v>58</v>
      </c>
      <c r="N10" s="24">
        <f t="shared" si="1"/>
        <v>58</v>
      </c>
      <c r="O10" s="23"/>
    </row>
    <row r="11" spans="1:15 16384:16384" x14ac:dyDescent="0.2">
      <c r="A11" s="11" t="s">
        <v>12</v>
      </c>
      <c r="B11" s="22">
        <f>44+46</f>
        <v>90</v>
      </c>
      <c r="C11" s="22">
        <f>44+46</f>
        <v>90</v>
      </c>
      <c r="D11" s="22">
        <f>44+49</f>
        <v>93</v>
      </c>
      <c r="E11" s="22">
        <f>44+45</f>
        <v>89</v>
      </c>
      <c r="F11" s="23">
        <f>46+45</f>
        <v>91</v>
      </c>
      <c r="G11" s="22">
        <f>46+48</f>
        <v>94</v>
      </c>
      <c r="H11" s="24">
        <v>94</v>
      </c>
      <c r="I11" s="24">
        <v>94</v>
      </c>
      <c r="J11" s="24">
        <v>102</v>
      </c>
      <c r="K11" s="24">
        <v>95</v>
      </c>
      <c r="L11" s="24">
        <v>96</v>
      </c>
      <c r="M11" s="24">
        <v>100</v>
      </c>
      <c r="N11" s="24">
        <f t="shared" si="1"/>
        <v>100</v>
      </c>
      <c r="O11" s="23"/>
    </row>
    <row r="12" spans="1:15 16384:16384" x14ac:dyDescent="0.2">
      <c r="A12" s="11" t="s">
        <v>13</v>
      </c>
      <c r="B12" s="22">
        <f>45+33</f>
        <v>78</v>
      </c>
      <c r="C12" s="22">
        <f>44+35</f>
        <v>79</v>
      </c>
      <c r="D12" s="22">
        <f>53+35</f>
        <v>88</v>
      </c>
      <c r="E12" s="22">
        <f>55+35</f>
        <v>90</v>
      </c>
      <c r="F12" s="23">
        <f>54+35</f>
        <v>89</v>
      </c>
      <c r="G12" s="22">
        <f>56+35</f>
        <v>91</v>
      </c>
      <c r="H12" s="24">
        <v>91</v>
      </c>
      <c r="I12" s="24">
        <v>91</v>
      </c>
      <c r="J12" s="24">
        <v>91</v>
      </c>
      <c r="K12" s="24">
        <v>92</v>
      </c>
      <c r="L12" s="24">
        <v>92</v>
      </c>
      <c r="M12" s="24">
        <v>93</v>
      </c>
      <c r="N12" s="24">
        <f t="shared" si="1"/>
        <v>93</v>
      </c>
      <c r="O12" s="23"/>
    </row>
    <row r="13" spans="1:15 16384:16384" x14ac:dyDescent="0.2">
      <c r="A13" s="11" t="s">
        <v>14</v>
      </c>
      <c r="B13" s="22">
        <f>71+65</f>
        <v>136</v>
      </c>
      <c r="C13" s="22">
        <f>70+65</f>
        <v>135</v>
      </c>
      <c r="D13" s="22">
        <f>75+69</f>
        <v>144</v>
      </c>
      <c r="E13" s="22">
        <f>76+67</f>
        <v>143</v>
      </c>
      <c r="F13" s="23">
        <f>79+68</f>
        <v>147</v>
      </c>
      <c r="G13" s="22">
        <f>75+70</f>
        <v>145</v>
      </c>
      <c r="H13" s="24">
        <v>145</v>
      </c>
      <c r="I13" s="24">
        <v>145</v>
      </c>
      <c r="J13" s="24">
        <v>148</v>
      </c>
      <c r="K13" s="24">
        <v>152</v>
      </c>
      <c r="L13" s="24">
        <v>152</v>
      </c>
      <c r="M13" s="24">
        <v>163</v>
      </c>
      <c r="N13" s="24">
        <f t="shared" si="1"/>
        <v>163</v>
      </c>
      <c r="O13" s="23"/>
    </row>
    <row r="14" spans="1:15 16384:16384" x14ac:dyDescent="0.2">
      <c r="A14" s="11" t="s">
        <v>15</v>
      </c>
      <c r="B14" s="22">
        <f>29+24</f>
        <v>53</v>
      </c>
      <c r="C14" s="22">
        <f>29+24</f>
        <v>53</v>
      </c>
      <c r="D14" s="22">
        <f>30+25</f>
        <v>55</v>
      </c>
      <c r="E14" s="22">
        <f>30+25</f>
        <v>55</v>
      </c>
      <c r="F14" s="23">
        <f>29+25</f>
        <v>54</v>
      </c>
      <c r="G14" s="22">
        <f>29+25</f>
        <v>54</v>
      </c>
      <c r="H14" s="24">
        <v>57</v>
      </c>
      <c r="I14" s="24">
        <v>57</v>
      </c>
      <c r="J14" s="24">
        <v>59</v>
      </c>
      <c r="K14" s="24">
        <v>62</v>
      </c>
      <c r="L14" s="24">
        <v>69</v>
      </c>
      <c r="M14" s="24">
        <v>74</v>
      </c>
      <c r="N14" s="24">
        <f t="shared" si="1"/>
        <v>74</v>
      </c>
      <c r="O14" s="23"/>
    </row>
    <row r="15" spans="1:15 16384:16384" x14ac:dyDescent="0.2">
      <c r="A15" s="11" t="s">
        <v>16</v>
      </c>
      <c r="B15" s="22">
        <f>16+23</f>
        <v>39</v>
      </c>
      <c r="C15" s="22">
        <f>16+23</f>
        <v>39</v>
      </c>
      <c r="D15" s="22">
        <f>14+23</f>
        <v>37</v>
      </c>
      <c r="E15" s="22">
        <f>14+23</f>
        <v>37</v>
      </c>
      <c r="F15" s="23">
        <f>21+24</f>
        <v>45</v>
      </c>
      <c r="G15" s="22">
        <f>16+24</f>
        <v>40</v>
      </c>
      <c r="H15" s="24">
        <v>40</v>
      </c>
      <c r="I15" s="24">
        <v>40</v>
      </c>
      <c r="J15" s="24">
        <v>40</v>
      </c>
      <c r="K15" s="24">
        <v>40</v>
      </c>
      <c r="L15" s="24">
        <v>46</v>
      </c>
      <c r="M15" s="24">
        <v>46</v>
      </c>
      <c r="N15" s="24">
        <f t="shared" si="1"/>
        <v>46</v>
      </c>
      <c r="O15" s="23"/>
    </row>
    <row r="16" spans="1:15 16384:16384" s="10" customFormat="1" x14ac:dyDescent="0.2">
      <c r="A16" s="18" t="s">
        <v>17</v>
      </c>
      <c r="B16" s="21">
        <f t="shared" ref="B16:L16" si="2">SUM(B17:B27)</f>
        <v>15119</v>
      </c>
      <c r="C16" s="21">
        <f t="shared" si="2"/>
        <v>15222</v>
      </c>
      <c r="D16" s="21">
        <f t="shared" si="2"/>
        <v>15644</v>
      </c>
      <c r="E16" s="21">
        <f t="shared" si="2"/>
        <v>15381</v>
      </c>
      <c r="F16" s="21">
        <f t="shared" si="2"/>
        <v>16975</v>
      </c>
      <c r="G16" s="21">
        <f t="shared" si="2"/>
        <v>17617</v>
      </c>
      <c r="H16" s="21">
        <f t="shared" si="2"/>
        <v>17855</v>
      </c>
      <c r="I16" s="21">
        <f t="shared" si="2"/>
        <v>18371</v>
      </c>
      <c r="J16" s="21">
        <f t="shared" si="2"/>
        <v>18968</v>
      </c>
      <c r="K16" s="21">
        <f t="shared" si="2"/>
        <v>19585</v>
      </c>
      <c r="L16" s="21">
        <f t="shared" si="2"/>
        <v>20050</v>
      </c>
      <c r="M16" s="21">
        <f>SUM(M17:M27)</f>
        <v>20482</v>
      </c>
      <c r="N16" s="21">
        <f t="shared" si="1"/>
        <v>20482</v>
      </c>
      <c r="O16" s="49"/>
      <c r="XFD16" s="12">
        <f>SUM(B16:XFC16)</f>
        <v>231751</v>
      </c>
    </row>
    <row r="17" spans="1:15" ht="15" x14ac:dyDescent="0.25">
      <c r="A17" s="11" t="s">
        <v>6</v>
      </c>
      <c r="B17" s="22">
        <v>7688</v>
      </c>
      <c r="C17" s="22">
        <f>4090+3644</f>
        <v>7734</v>
      </c>
      <c r="D17" s="22">
        <f>4244+3663</f>
        <v>7907</v>
      </c>
      <c r="E17" s="22">
        <f>4013+3745</f>
        <v>7758</v>
      </c>
      <c r="F17" s="22">
        <v>8360</v>
      </c>
      <c r="G17" s="22">
        <f>4580+3835</f>
        <v>8415</v>
      </c>
      <c r="H17" s="24">
        <v>8601</v>
      </c>
      <c r="I17" s="24">
        <v>8791</v>
      </c>
      <c r="J17" s="24">
        <v>8183</v>
      </c>
      <c r="K17" s="24">
        <v>8468</v>
      </c>
      <c r="L17" s="40">
        <v>8565</v>
      </c>
      <c r="M17" s="40">
        <v>8686</v>
      </c>
      <c r="N17" s="24">
        <f t="shared" si="1"/>
        <v>8686</v>
      </c>
      <c r="O17" s="23"/>
    </row>
    <row r="18" spans="1:15" x14ac:dyDescent="0.2">
      <c r="A18" s="11" t="s">
        <v>7</v>
      </c>
      <c r="B18" s="22">
        <v>1590</v>
      </c>
      <c r="C18" s="22">
        <f>9336-C17</f>
        <v>1602</v>
      </c>
      <c r="D18" s="22">
        <f>9572-7907</f>
        <v>1665</v>
      </c>
      <c r="E18" s="22">
        <f>9413-7758</f>
        <v>1655</v>
      </c>
      <c r="F18" s="22">
        <f>10311-F17</f>
        <v>1951</v>
      </c>
      <c r="G18" s="22">
        <f>10391-G17</f>
        <v>1976</v>
      </c>
      <c r="H18" s="24">
        <v>2026</v>
      </c>
      <c r="I18" s="24">
        <f>10929-8791</f>
        <v>2138</v>
      </c>
      <c r="J18" s="24">
        <v>2618</v>
      </c>
      <c r="K18" s="24">
        <v>2727</v>
      </c>
      <c r="L18" s="24">
        <v>2852</v>
      </c>
      <c r="M18" s="24">
        <v>2916</v>
      </c>
      <c r="N18" s="24">
        <f t="shared" si="1"/>
        <v>2916</v>
      </c>
      <c r="O18" s="23"/>
    </row>
    <row r="19" spans="1:15" x14ac:dyDescent="0.2">
      <c r="A19" s="11" t="s">
        <v>8</v>
      </c>
      <c r="B19" s="22">
        <v>662</v>
      </c>
      <c r="C19" s="22">
        <f>409+273</f>
        <v>682</v>
      </c>
      <c r="D19" s="22">
        <f>407+272</f>
        <v>679</v>
      </c>
      <c r="E19" s="22">
        <f>422+296</f>
        <v>718</v>
      </c>
      <c r="F19" s="22">
        <f>455+300</f>
        <v>755</v>
      </c>
      <c r="G19" s="22">
        <f>444+324</f>
        <v>768</v>
      </c>
      <c r="H19" s="24">
        <v>794</v>
      </c>
      <c r="I19" s="24">
        <v>820</v>
      </c>
      <c r="J19" s="24">
        <v>871</v>
      </c>
      <c r="K19" s="24">
        <v>882</v>
      </c>
      <c r="L19" s="24">
        <v>903</v>
      </c>
      <c r="M19" s="24">
        <v>912</v>
      </c>
      <c r="N19" s="24">
        <f t="shared" si="1"/>
        <v>912</v>
      </c>
      <c r="O19" s="23"/>
    </row>
    <row r="20" spans="1:15" x14ac:dyDescent="0.2">
      <c r="A20" s="11" t="s">
        <v>9</v>
      </c>
      <c r="B20" s="22">
        <v>737</v>
      </c>
      <c r="C20" s="22">
        <f>484+222</f>
        <v>706</v>
      </c>
      <c r="D20" s="22">
        <f>493+246</f>
        <v>739</v>
      </c>
      <c r="E20" s="22">
        <f>472+246</f>
        <v>718</v>
      </c>
      <c r="F20" s="22">
        <f>503+263</f>
        <v>766</v>
      </c>
      <c r="G20" s="26">
        <f>547+294</f>
        <v>841</v>
      </c>
      <c r="H20" s="38">
        <v>812</v>
      </c>
      <c r="I20" s="24">
        <v>837</v>
      </c>
      <c r="J20" s="24">
        <v>922</v>
      </c>
      <c r="K20" s="24">
        <v>925</v>
      </c>
      <c r="L20" s="24">
        <v>952</v>
      </c>
      <c r="M20" s="24">
        <v>983</v>
      </c>
      <c r="N20" s="24">
        <f t="shared" si="1"/>
        <v>983</v>
      </c>
      <c r="O20" s="23"/>
    </row>
    <row r="21" spans="1:15" x14ac:dyDescent="0.2">
      <c r="A21" s="11" t="s">
        <v>10</v>
      </c>
      <c r="B21" s="22">
        <v>1192</v>
      </c>
      <c r="C21" s="22">
        <f>744+450</f>
        <v>1194</v>
      </c>
      <c r="D21" s="22">
        <f>763+466</f>
        <v>1229</v>
      </c>
      <c r="E21" s="22">
        <f>724+482</f>
        <v>1206</v>
      </c>
      <c r="F21" s="22">
        <f>782+519</f>
        <v>1301</v>
      </c>
      <c r="G21" s="22">
        <f>804+555</f>
        <v>1359</v>
      </c>
      <c r="H21" s="24">
        <v>1382</v>
      </c>
      <c r="I21" s="24">
        <v>1405</v>
      </c>
      <c r="J21" s="24">
        <v>1476</v>
      </c>
      <c r="K21" s="24">
        <v>1494</v>
      </c>
      <c r="L21" s="24">
        <v>1529</v>
      </c>
      <c r="M21" s="24">
        <v>1572</v>
      </c>
      <c r="N21" s="24">
        <f t="shared" si="1"/>
        <v>1572</v>
      </c>
      <c r="O21" s="23"/>
    </row>
    <row r="22" spans="1:15" x14ac:dyDescent="0.2">
      <c r="A22" s="11" t="s">
        <v>11</v>
      </c>
      <c r="B22" s="22">
        <v>383</v>
      </c>
      <c r="C22" s="22">
        <f>297+98</f>
        <v>395</v>
      </c>
      <c r="D22" s="22">
        <f>317+103</f>
        <v>420</v>
      </c>
      <c r="E22" s="22">
        <f>289+106</f>
        <v>395</v>
      </c>
      <c r="F22" s="22">
        <f>336+143</f>
        <v>479</v>
      </c>
      <c r="G22" s="22">
        <f>357+129</f>
        <v>486</v>
      </c>
      <c r="H22" s="24">
        <v>495</v>
      </c>
      <c r="I22" s="24">
        <v>498</v>
      </c>
      <c r="J22" s="24">
        <v>573</v>
      </c>
      <c r="K22" s="24">
        <v>599</v>
      </c>
      <c r="L22" s="24">
        <v>614</v>
      </c>
      <c r="M22" s="24">
        <v>626</v>
      </c>
      <c r="N22" s="24">
        <f t="shared" si="1"/>
        <v>626</v>
      </c>
      <c r="O22" s="23"/>
    </row>
    <row r="23" spans="1:15" x14ac:dyDescent="0.2">
      <c r="A23" s="11" t="s">
        <v>12</v>
      </c>
      <c r="B23" s="22">
        <v>764</v>
      </c>
      <c r="C23" s="22">
        <f>571+194</f>
        <v>765</v>
      </c>
      <c r="D23" s="22">
        <f>580+193</f>
        <v>773</v>
      </c>
      <c r="E23" s="22">
        <f>568+201</f>
        <v>769</v>
      </c>
      <c r="F23" s="22">
        <v>860</v>
      </c>
      <c r="G23" s="26">
        <v>906</v>
      </c>
      <c r="H23" s="38">
        <v>889</v>
      </c>
      <c r="I23" s="24">
        <v>932</v>
      </c>
      <c r="J23" s="24">
        <v>1039</v>
      </c>
      <c r="K23" s="24">
        <v>1076</v>
      </c>
      <c r="L23" s="24">
        <v>1121</v>
      </c>
      <c r="M23" s="24">
        <v>1151</v>
      </c>
      <c r="N23" s="24">
        <f t="shared" si="1"/>
        <v>1151</v>
      </c>
      <c r="O23" s="23"/>
    </row>
    <row r="24" spans="1:15" x14ac:dyDescent="0.2">
      <c r="A24" s="11" t="s">
        <v>13</v>
      </c>
      <c r="B24" s="22">
        <v>467</v>
      </c>
      <c r="C24" s="22">
        <f>349+124</f>
        <v>473</v>
      </c>
      <c r="D24" s="22">
        <f>360+125</f>
        <v>485</v>
      </c>
      <c r="E24" s="22">
        <f>317+136</f>
        <v>453</v>
      </c>
      <c r="F24" s="22">
        <f>381+150</f>
        <v>531</v>
      </c>
      <c r="G24" s="22">
        <f>413+163</f>
        <v>576</v>
      </c>
      <c r="H24" s="24">
        <v>599</v>
      </c>
      <c r="I24" s="24">
        <v>619</v>
      </c>
      <c r="J24" s="24">
        <v>632</v>
      </c>
      <c r="K24" s="24">
        <v>665</v>
      </c>
      <c r="L24" s="24">
        <v>685</v>
      </c>
      <c r="M24" s="24">
        <v>704</v>
      </c>
      <c r="N24" s="24">
        <f t="shared" si="1"/>
        <v>704</v>
      </c>
      <c r="O24" s="23"/>
    </row>
    <row r="25" spans="1:15" x14ac:dyDescent="0.2">
      <c r="A25" s="11" t="s">
        <v>14</v>
      </c>
      <c r="B25" s="22">
        <v>1109</v>
      </c>
      <c r="C25" s="22">
        <f>851+273</f>
        <v>1124</v>
      </c>
      <c r="D25" s="22">
        <f>877+280</f>
        <v>1157</v>
      </c>
      <c r="E25" s="22">
        <f>819+306</f>
        <v>1125</v>
      </c>
      <c r="F25" s="22">
        <f>960+332</f>
        <v>1292</v>
      </c>
      <c r="G25" s="26">
        <f>1130+401</f>
        <v>1531</v>
      </c>
      <c r="H25" s="38">
        <v>1454</v>
      </c>
      <c r="I25" s="24">
        <v>1489</v>
      </c>
      <c r="J25" s="24">
        <v>1639</v>
      </c>
      <c r="K25" s="24">
        <v>1692</v>
      </c>
      <c r="L25" s="24">
        <v>1746</v>
      </c>
      <c r="M25" s="24">
        <v>1805</v>
      </c>
      <c r="N25" s="24">
        <f t="shared" si="1"/>
        <v>1805</v>
      </c>
      <c r="O25" s="23"/>
    </row>
    <row r="26" spans="1:15" x14ac:dyDescent="0.2">
      <c r="A26" s="11" t="s">
        <v>15</v>
      </c>
      <c r="B26" s="22">
        <v>314</v>
      </c>
      <c r="C26" s="22">
        <f>248+86</f>
        <v>334</v>
      </c>
      <c r="D26" s="22">
        <f>266+98</f>
        <v>364</v>
      </c>
      <c r="E26" s="22">
        <f>243+104</f>
        <v>347</v>
      </c>
      <c r="F26" s="22">
        <f>281+129</f>
        <v>410</v>
      </c>
      <c r="G26" s="22">
        <f>312+151</f>
        <v>463</v>
      </c>
      <c r="H26" s="24">
        <v>502</v>
      </c>
      <c r="I26" s="24">
        <v>530</v>
      </c>
      <c r="J26" s="24">
        <v>659</v>
      </c>
      <c r="K26" s="24">
        <v>692</v>
      </c>
      <c r="L26" s="24">
        <v>707</v>
      </c>
      <c r="M26" s="24">
        <v>737</v>
      </c>
      <c r="N26" s="24">
        <f t="shared" si="1"/>
        <v>737</v>
      </c>
      <c r="O26" s="23"/>
    </row>
    <row r="27" spans="1:15" x14ac:dyDescent="0.2">
      <c r="A27" s="11" t="s">
        <v>16</v>
      </c>
      <c r="B27" s="22">
        <v>213</v>
      </c>
      <c r="C27" s="22">
        <f>143+70</f>
        <v>213</v>
      </c>
      <c r="D27" s="22">
        <f>152+74</f>
        <v>226</v>
      </c>
      <c r="E27" s="22">
        <f>135+102</f>
        <v>237</v>
      </c>
      <c r="F27" s="22">
        <f>164+106</f>
        <v>270</v>
      </c>
      <c r="G27" s="22">
        <f>167+129</f>
        <v>296</v>
      </c>
      <c r="H27" s="24">
        <v>301</v>
      </c>
      <c r="I27" s="24">
        <v>312</v>
      </c>
      <c r="J27" s="24">
        <v>356</v>
      </c>
      <c r="K27" s="24">
        <v>365</v>
      </c>
      <c r="L27" s="24">
        <v>376</v>
      </c>
      <c r="M27" s="24">
        <v>390</v>
      </c>
      <c r="N27" s="24">
        <f t="shared" si="1"/>
        <v>390</v>
      </c>
      <c r="O27" s="23"/>
    </row>
    <row r="28" spans="1:15" x14ac:dyDescent="0.2">
      <c r="A28" s="8" t="s">
        <v>24</v>
      </c>
      <c r="B28" s="25">
        <f>+B29+B30</f>
        <v>3665099</v>
      </c>
      <c r="C28" s="25">
        <f t="shared" ref="C28:M28" si="3">+C29+C30</f>
        <v>3708747</v>
      </c>
      <c r="D28" s="25">
        <f t="shared" si="3"/>
        <v>3816850</v>
      </c>
      <c r="E28" s="25">
        <f t="shared" si="3"/>
        <v>3816922</v>
      </c>
      <c r="F28" s="25">
        <f t="shared" si="3"/>
        <v>4017365</v>
      </c>
      <c r="G28" s="25">
        <f t="shared" si="3"/>
        <v>3885004</v>
      </c>
      <c r="H28" s="25">
        <f t="shared" si="3"/>
        <v>3926218</v>
      </c>
      <c r="I28" s="25">
        <f t="shared" si="3"/>
        <v>3991267</v>
      </c>
      <c r="J28" s="25">
        <f t="shared" si="3"/>
        <v>4094391</v>
      </c>
      <c r="K28" s="25">
        <f t="shared" si="3"/>
        <v>4218290</v>
      </c>
      <c r="L28" s="25">
        <f t="shared" si="3"/>
        <v>4288844</v>
      </c>
      <c r="M28" s="25">
        <f t="shared" si="3"/>
        <v>4405157</v>
      </c>
      <c r="N28" s="25">
        <f>SUM(M28+0)</f>
        <v>4405157</v>
      </c>
      <c r="O28" s="23"/>
    </row>
    <row r="29" spans="1:15" x14ac:dyDescent="0.2">
      <c r="A29" s="13" t="s">
        <v>25</v>
      </c>
      <c r="B29" s="22">
        <v>3535765</v>
      </c>
      <c r="C29" s="22">
        <v>3581443</v>
      </c>
      <c r="D29" s="22">
        <v>3686796</v>
      </c>
      <c r="E29" s="22">
        <v>3681078</v>
      </c>
      <c r="F29" s="22">
        <v>3882433</v>
      </c>
      <c r="G29" s="22">
        <v>3756274</v>
      </c>
      <c r="H29" s="24">
        <v>3797993</v>
      </c>
      <c r="I29" s="24">
        <v>3858345</v>
      </c>
      <c r="J29" s="24">
        <v>3957286</v>
      </c>
      <c r="K29" s="24">
        <v>4076531</v>
      </c>
      <c r="L29" s="24">
        <v>4134771</v>
      </c>
      <c r="M29" s="24">
        <v>4251084</v>
      </c>
      <c r="N29" s="24">
        <f>SUM(M29+0)</f>
        <v>4251084</v>
      </c>
      <c r="O29" s="23"/>
    </row>
    <row r="30" spans="1:15" x14ac:dyDescent="0.2">
      <c r="A30" s="13" t="s">
        <v>26</v>
      </c>
      <c r="B30" s="22">
        <v>129334</v>
      </c>
      <c r="C30" s="22">
        <v>127304</v>
      </c>
      <c r="D30" s="22">
        <v>130054</v>
      </c>
      <c r="E30" s="22">
        <v>135844</v>
      </c>
      <c r="F30" s="22">
        <v>134932</v>
      </c>
      <c r="G30" s="22">
        <v>128730</v>
      </c>
      <c r="H30" s="24">
        <v>128225</v>
      </c>
      <c r="I30" s="24">
        <v>132922</v>
      </c>
      <c r="J30" s="24">
        <v>137105</v>
      </c>
      <c r="K30" s="24">
        <v>141759</v>
      </c>
      <c r="L30" s="24">
        <v>154073</v>
      </c>
      <c r="M30" s="24">
        <v>154073</v>
      </c>
      <c r="N30" s="24">
        <f>SUM(M30+0)</f>
        <v>154073</v>
      </c>
      <c r="O30" s="23"/>
    </row>
    <row r="31" spans="1:15" x14ac:dyDescent="0.2">
      <c r="A31" s="8" t="s">
        <v>0</v>
      </c>
      <c r="B31" s="39">
        <f>+B32+B33+B34</f>
        <v>2766844</v>
      </c>
      <c r="C31" s="52">
        <f t="shared" ref="C31:E31" si="4">+C32+C33+C34</f>
        <v>2843708</v>
      </c>
      <c r="D31" s="52">
        <f t="shared" si="4"/>
        <v>2889840</v>
      </c>
      <c r="E31" s="25">
        <f t="shared" si="4"/>
        <v>2746303</v>
      </c>
      <c r="F31" s="25">
        <f t="shared" ref="F31" si="5">+F32+F33+F34</f>
        <v>2874086</v>
      </c>
      <c r="G31" s="25">
        <f t="shared" ref="G31" si="6">+G32+G33+G34</f>
        <v>2877492</v>
      </c>
      <c r="H31" s="39">
        <f t="shared" ref="H31" si="7">+H32+H33+H34</f>
        <v>2689382.5</v>
      </c>
      <c r="I31" s="39">
        <f t="shared" ref="I31" si="8">+I32+I33+I34</f>
        <v>2735556</v>
      </c>
      <c r="J31" s="39">
        <f t="shared" ref="J31:M31" si="9">+J32+J33+J34</f>
        <v>2795411</v>
      </c>
      <c r="K31" s="39">
        <f t="shared" si="9"/>
        <v>2889573</v>
      </c>
      <c r="L31" s="39">
        <f t="shared" si="9"/>
        <v>2939778</v>
      </c>
      <c r="M31" s="39">
        <f t="shared" si="9"/>
        <v>3001879</v>
      </c>
      <c r="N31" s="25">
        <f>SUM(M31+0)</f>
        <v>3001879</v>
      </c>
      <c r="O31" s="23"/>
    </row>
    <row r="32" spans="1:15" ht="15" x14ac:dyDescent="0.25">
      <c r="A32" s="13" t="s">
        <v>1</v>
      </c>
      <c r="B32" s="22">
        <v>2648732</v>
      </c>
      <c r="C32" s="47">
        <v>2724347</v>
      </c>
      <c r="D32" s="26">
        <v>2768596</v>
      </c>
      <c r="E32" s="26">
        <v>2628703</v>
      </c>
      <c r="F32" s="26">
        <v>2752379</v>
      </c>
      <c r="G32" s="26">
        <v>2753645</v>
      </c>
      <c r="H32" s="26">
        <v>2566763.5</v>
      </c>
      <c r="I32" s="26">
        <v>2606047</v>
      </c>
      <c r="J32" s="26">
        <v>2665052</v>
      </c>
      <c r="K32" s="41">
        <v>2754505</v>
      </c>
      <c r="L32" s="26">
        <v>2799173</v>
      </c>
      <c r="M32" s="26">
        <v>2845082</v>
      </c>
      <c r="N32" s="24">
        <f t="shared" ref="N32:N35" si="10">SUM(M32+0)</f>
        <v>2845082</v>
      </c>
      <c r="O32" s="23"/>
    </row>
    <row r="33" spans="1:125" ht="15" x14ac:dyDescent="0.25">
      <c r="A33" s="13" t="s">
        <v>2</v>
      </c>
      <c r="B33" s="22">
        <v>96275</v>
      </c>
      <c r="C33" s="47">
        <v>95745</v>
      </c>
      <c r="D33" s="26">
        <v>97480</v>
      </c>
      <c r="E33" s="26">
        <v>93123</v>
      </c>
      <c r="F33" s="26">
        <v>97484</v>
      </c>
      <c r="G33" s="26">
        <v>99798</v>
      </c>
      <c r="H33" s="26">
        <v>102025</v>
      </c>
      <c r="I33" s="26">
        <v>106898</v>
      </c>
      <c r="J33" s="26">
        <v>110861</v>
      </c>
      <c r="K33" s="26">
        <v>115807</v>
      </c>
      <c r="L33" s="26">
        <v>121276</v>
      </c>
      <c r="M33" s="55">
        <v>135838</v>
      </c>
      <c r="N33" s="24">
        <f t="shared" si="10"/>
        <v>135838</v>
      </c>
      <c r="O33" s="23"/>
    </row>
    <row r="34" spans="1:125" x14ac:dyDescent="0.2">
      <c r="A34" s="13" t="s">
        <v>23</v>
      </c>
      <c r="B34" s="22">
        <v>21837</v>
      </c>
      <c r="C34" s="47">
        <v>23616</v>
      </c>
      <c r="D34" s="26">
        <v>23764</v>
      </c>
      <c r="E34" s="26">
        <v>24477</v>
      </c>
      <c r="F34" s="26">
        <v>24223</v>
      </c>
      <c r="G34" s="26">
        <v>24049</v>
      </c>
      <c r="H34" s="26">
        <v>20594</v>
      </c>
      <c r="I34" s="26">
        <v>22611</v>
      </c>
      <c r="J34" s="26">
        <v>19498</v>
      </c>
      <c r="K34" s="26">
        <v>19261</v>
      </c>
      <c r="L34" s="26">
        <v>19329</v>
      </c>
      <c r="M34" s="26">
        <v>20959</v>
      </c>
      <c r="N34" s="24">
        <f t="shared" si="10"/>
        <v>20959</v>
      </c>
      <c r="O34" s="23"/>
    </row>
    <row r="35" spans="1:125" x14ac:dyDescent="0.2">
      <c r="A35" s="13"/>
      <c r="B35" s="26"/>
      <c r="C35" s="43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4">
        <f t="shared" si="10"/>
        <v>0</v>
      </c>
      <c r="O35" s="23"/>
    </row>
    <row r="36" spans="1:125" x14ac:dyDescent="0.2">
      <c r="A36" s="14" t="s">
        <v>21</v>
      </c>
      <c r="B36" s="39">
        <f>SUM(B37:B40)</f>
        <v>7464857</v>
      </c>
      <c r="C36" s="39">
        <f t="shared" ref="C36:N36" si="11">SUM(C37:C40)</f>
        <v>7251945</v>
      </c>
      <c r="D36" s="39">
        <f t="shared" si="11"/>
        <v>8229329</v>
      </c>
      <c r="E36" s="39">
        <f t="shared" si="11"/>
        <v>7307208</v>
      </c>
      <c r="F36" s="39">
        <f t="shared" si="11"/>
        <v>8282078</v>
      </c>
      <c r="G36" s="39">
        <f t="shared" si="11"/>
        <v>8492793</v>
      </c>
      <c r="H36" s="39">
        <f t="shared" si="11"/>
        <v>9464774</v>
      </c>
      <c r="I36" s="39">
        <f t="shared" si="11"/>
        <v>9502862</v>
      </c>
      <c r="J36" s="39">
        <f t="shared" si="11"/>
        <v>9412261</v>
      </c>
      <c r="K36" s="39">
        <f t="shared" si="11"/>
        <v>8846553</v>
      </c>
      <c r="L36" s="39">
        <f t="shared" si="11"/>
        <v>8272495</v>
      </c>
      <c r="M36" s="39">
        <f>SUM(M37:M40)</f>
        <v>9890009</v>
      </c>
      <c r="N36" s="39">
        <f t="shared" si="11"/>
        <v>102417164</v>
      </c>
      <c r="O36" s="23"/>
    </row>
    <row r="37" spans="1:125" s="28" customFormat="1" x14ac:dyDescent="0.2">
      <c r="A37" s="29" t="s">
        <v>19</v>
      </c>
      <c r="B37" s="48">
        <v>6613787</v>
      </c>
      <c r="C37" s="48">
        <v>6383843</v>
      </c>
      <c r="D37" s="48">
        <v>7247775</v>
      </c>
      <c r="E37" s="48">
        <v>6501587</v>
      </c>
      <c r="F37" s="26">
        <v>7342276</v>
      </c>
      <c r="G37" s="26">
        <v>7491703</v>
      </c>
      <c r="H37" s="26">
        <v>8300193</v>
      </c>
      <c r="I37" s="26">
        <v>8417282</v>
      </c>
      <c r="J37" s="26">
        <v>8324422</v>
      </c>
      <c r="K37" s="26">
        <v>7912233</v>
      </c>
      <c r="L37" s="26">
        <v>7402097</v>
      </c>
      <c r="M37" s="36">
        <v>8859581</v>
      </c>
      <c r="N37" s="48">
        <f>SUM(B37:M37)</f>
        <v>90796779</v>
      </c>
      <c r="O37" s="51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</row>
    <row r="38" spans="1:125" s="28" customFormat="1" x14ac:dyDescent="0.2">
      <c r="A38" s="29" t="s">
        <v>18</v>
      </c>
      <c r="B38" s="48">
        <v>777081</v>
      </c>
      <c r="C38" s="48">
        <v>784812</v>
      </c>
      <c r="D38" s="26">
        <v>891666</v>
      </c>
      <c r="E38" s="26">
        <v>719476</v>
      </c>
      <c r="F38" s="26">
        <v>833837</v>
      </c>
      <c r="G38" s="48">
        <v>880257</v>
      </c>
      <c r="H38" s="26">
        <v>1001717</v>
      </c>
      <c r="I38" s="26">
        <v>916774</v>
      </c>
      <c r="J38" s="26">
        <v>939333</v>
      </c>
      <c r="K38" s="26">
        <v>779456</v>
      </c>
      <c r="L38" s="26">
        <v>704359</v>
      </c>
      <c r="M38" s="36">
        <v>851536</v>
      </c>
      <c r="N38" s="48">
        <f>SUM(B38:M38)</f>
        <v>10080304</v>
      </c>
      <c r="O38" s="51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</row>
    <row r="39" spans="1:125" s="28" customFormat="1" x14ac:dyDescent="0.2">
      <c r="A39" s="29" t="s">
        <v>20</v>
      </c>
      <c r="B39" s="48">
        <v>73989</v>
      </c>
      <c r="C39" s="48">
        <v>83290</v>
      </c>
      <c r="D39" s="48">
        <v>89888</v>
      </c>
      <c r="E39" s="48">
        <v>86145</v>
      </c>
      <c r="F39" s="48">
        <v>105965</v>
      </c>
      <c r="G39" s="48">
        <v>120833</v>
      </c>
      <c r="H39" s="26">
        <v>162864</v>
      </c>
      <c r="I39" s="26">
        <v>168806</v>
      </c>
      <c r="J39" s="26">
        <v>148506</v>
      </c>
      <c r="K39" s="26">
        <v>154864</v>
      </c>
      <c r="L39" s="26">
        <v>166039</v>
      </c>
      <c r="M39" s="26">
        <v>178892</v>
      </c>
      <c r="N39" s="48">
        <f t="shared" ref="N39:N47" si="12">SUM(B39:M39)</f>
        <v>1540081</v>
      </c>
      <c r="O39" s="51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</row>
    <row r="40" spans="1:125" x14ac:dyDescent="0.2">
      <c r="A40" s="15"/>
      <c r="B40" s="22"/>
      <c r="C40" s="26"/>
      <c r="D40" s="26"/>
      <c r="E40" s="26"/>
      <c r="F40" s="26"/>
      <c r="G40" s="26"/>
      <c r="H40" s="26"/>
      <c r="I40" s="26"/>
      <c r="J40" s="26"/>
      <c r="K40" s="26" t="s">
        <v>52</v>
      </c>
      <c r="L40" s="24"/>
      <c r="M40" s="24"/>
      <c r="N40" s="22">
        <f t="shared" si="12"/>
        <v>0</v>
      </c>
      <c r="O40" s="51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</row>
    <row r="41" spans="1:125" x14ac:dyDescent="0.2">
      <c r="A41" s="14" t="s">
        <v>22</v>
      </c>
      <c r="B41" s="39">
        <f t="shared" ref="B41:N41" si="13">SUM(B42:B45)</f>
        <v>8640485.7182083596</v>
      </c>
      <c r="C41" s="39">
        <f t="shared" si="13"/>
        <v>8223180</v>
      </c>
      <c r="D41" s="39">
        <f t="shared" si="13"/>
        <v>8687702</v>
      </c>
      <c r="E41" s="39">
        <f t="shared" si="13"/>
        <v>16371565.273190001</v>
      </c>
      <c r="F41" s="39">
        <f t="shared" si="13"/>
        <v>20047775.54031416</v>
      </c>
      <c r="G41" s="39">
        <f t="shared" ref="G41:M41" si="14">SUM(G42:G45)</f>
        <v>21189259.275964163</v>
      </c>
      <c r="H41" s="39">
        <f t="shared" si="14"/>
        <v>23582290.507974155</v>
      </c>
      <c r="I41" s="39">
        <f t="shared" si="14"/>
        <v>23225662.794274163</v>
      </c>
      <c r="J41" s="56">
        <f t="shared" si="14"/>
        <v>24593210.995354153</v>
      </c>
      <c r="K41" s="39">
        <f t="shared" si="14"/>
        <v>24072429.880194157</v>
      </c>
      <c r="L41" s="39">
        <f t="shared" si="14"/>
        <v>19977687.631904159</v>
      </c>
      <c r="M41" s="39">
        <f t="shared" si="14"/>
        <v>24786447.275444161</v>
      </c>
      <c r="N41" s="39">
        <f t="shared" si="13"/>
        <v>218917193.34351447</v>
      </c>
      <c r="O41" s="51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</row>
    <row r="42" spans="1:125" s="28" customFormat="1" x14ac:dyDescent="0.2">
      <c r="A42" s="29" t="s">
        <v>19</v>
      </c>
      <c r="B42" s="48">
        <v>7306399</v>
      </c>
      <c r="C42" s="48">
        <v>6873051</v>
      </c>
      <c r="D42" s="48">
        <v>7438418</v>
      </c>
      <c r="E42" s="48">
        <v>13035928.24072</v>
      </c>
      <c r="F42" s="48">
        <v>16130570.364799999</v>
      </c>
      <c r="G42" s="48">
        <v>16907133.216300003</v>
      </c>
      <c r="H42" s="48">
        <v>18523093.029599994</v>
      </c>
      <c r="I42" s="26">
        <v>18479356.970820002</v>
      </c>
      <c r="J42" s="57">
        <v>19948879.367709994</v>
      </c>
      <c r="K42" s="48">
        <v>19988026.329999998</v>
      </c>
      <c r="L42" s="48">
        <v>16075014.632109998</v>
      </c>
      <c r="M42" s="48">
        <v>20085119.772059999</v>
      </c>
      <c r="N42" s="48">
        <f>SUM(B42:M42)</f>
        <v>180790989.92411998</v>
      </c>
      <c r="O42" s="46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</row>
    <row r="43" spans="1:125" s="28" customFormat="1" x14ac:dyDescent="0.2">
      <c r="A43" s="29" t="s">
        <v>18</v>
      </c>
      <c r="B43" s="48">
        <v>1024377</v>
      </c>
      <c r="C43" s="48">
        <v>981092</v>
      </c>
      <c r="D43" s="48">
        <v>1127321</v>
      </c>
      <c r="E43" s="48">
        <v>3191453.4796899999</v>
      </c>
      <c r="F43" s="48">
        <v>3747839.9770071609</v>
      </c>
      <c r="G43" s="48">
        <v>4089301.4420471601</v>
      </c>
      <c r="H43" s="48">
        <v>4792235.3797371611</v>
      </c>
      <c r="I43" s="26">
        <v>4460039.5946371593</v>
      </c>
      <c r="J43" s="57">
        <v>4409803.0500571597</v>
      </c>
      <c r="K43" s="48">
        <v>3847243.1991571598</v>
      </c>
      <c r="L43" s="48">
        <v>3668658.9876171602</v>
      </c>
      <c r="M43" s="48">
        <v>4480503.5493071601</v>
      </c>
      <c r="N43" s="48">
        <f>SUM(B43:L43)</f>
        <v>35339365.109950125</v>
      </c>
      <c r="O43" s="46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</row>
    <row r="44" spans="1:125" s="28" customFormat="1" x14ac:dyDescent="0.2">
      <c r="A44" s="29" t="s">
        <v>20</v>
      </c>
      <c r="B44" s="48">
        <v>309709.71820836008</v>
      </c>
      <c r="C44" s="48">
        <v>369037</v>
      </c>
      <c r="D44" s="48">
        <v>121963</v>
      </c>
      <c r="E44" s="48">
        <v>144183.55278000003</v>
      </c>
      <c r="F44" s="48">
        <v>169365.19850699999</v>
      </c>
      <c r="G44" s="48">
        <v>192824.61761699995</v>
      </c>
      <c r="H44" s="48">
        <v>266962.09863700008</v>
      </c>
      <c r="I44" s="26">
        <v>286266.228817</v>
      </c>
      <c r="J44" s="57">
        <v>234528.57758700001</v>
      </c>
      <c r="K44" s="48">
        <v>237160.35103699996</v>
      </c>
      <c r="L44" s="48">
        <v>234014.01217700003</v>
      </c>
      <c r="M44" s="48">
        <v>220823.95407700003</v>
      </c>
      <c r="N44" s="48">
        <f t="shared" si="12"/>
        <v>2786838.3094443595</v>
      </c>
      <c r="O44" s="46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</row>
    <row r="45" spans="1:125" x14ac:dyDescent="0.2">
      <c r="A45" s="16"/>
      <c r="B45" s="23"/>
      <c r="C45" s="23"/>
      <c r="D45" s="23"/>
      <c r="E45" s="23"/>
      <c r="F45" s="23"/>
      <c r="G45" s="23"/>
      <c r="H45" s="23"/>
      <c r="I45" s="23"/>
      <c r="J45" s="36"/>
      <c r="K45" s="23"/>
      <c r="L45" s="23"/>
      <c r="M45" s="23"/>
      <c r="N45" s="22">
        <f t="shared" si="12"/>
        <v>0</v>
      </c>
      <c r="O45" s="23"/>
    </row>
    <row r="46" spans="1:125" x14ac:dyDescent="0.2">
      <c r="A46" s="14" t="s">
        <v>17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23"/>
    </row>
    <row r="47" spans="1:125" s="28" customFormat="1" x14ac:dyDescent="0.2">
      <c r="A47" s="31" t="s">
        <v>34</v>
      </c>
      <c r="B47" s="53">
        <v>1379171</v>
      </c>
      <c r="C47" s="53">
        <v>1302071</v>
      </c>
      <c r="D47" s="53">
        <v>1641349</v>
      </c>
      <c r="E47" s="53">
        <v>1410303</v>
      </c>
      <c r="F47" s="53">
        <v>1627883</v>
      </c>
      <c r="G47" s="53">
        <v>1627526</v>
      </c>
      <c r="H47" s="54">
        <v>1769742</v>
      </c>
      <c r="I47" s="51">
        <v>1793625</v>
      </c>
      <c r="J47" s="51">
        <v>1829486</v>
      </c>
      <c r="K47" s="26">
        <v>2082596</v>
      </c>
      <c r="L47" s="26">
        <v>2134289</v>
      </c>
      <c r="M47" s="26">
        <v>2706490</v>
      </c>
      <c r="N47" s="26">
        <f t="shared" si="12"/>
        <v>21304531</v>
      </c>
      <c r="O47" s="51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</row>
    <row r="48" spans="1:125" s="28" customFormat="1" x14ac:dyDescent="0.2">
      <c r="A48" s="31" t="s">
        <v>33</v>
      </c>
      <c r="B48" s="26">
        <v>2843592.4329619994</v>
      </c>
      <c r="C48" s="26">
        <v>2567639.775210001</v>
      </c>
      <c r="D48" s="26">
        <v>3184240.5907699992</v>
      </c>
      <c r="E48" s="53">
        <v>2912593.5405599992</v>
      </c>
      <c r="F48" s="53">
        <v>3232024.3837241321</v>
      </c>
      <c r="G48" s="26">
        <v>3470162.631514132</v>
      </c>
      <c r="H48" s="54">
        <v>3785970.4572041295</v>
      </c>
      <c r="I48" s="26">
        <v>3797518.4530741312</v>
      </c>
      <c r="J48" s="51">
        <v>3945644.2158041317</v>
      </c>
      <c r="K48" s="26">
        <v>4635994.9753041314</v>
      </c>
      <c r="L48" s="26">
        <v>4873653.2891741302</v>
      </c>
      <c r="M48" s="26">
        <v>6195146.9925607974</v>
      </c>
      <c r="N48" s="38">
        <f>SUM(B48:M48)</f>
        <v>45444181.737861715</v>
      </c>
      <c r="O48" s="51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</row>
    <row r="49" spans="1:182" x14ac:dyDescent="0.2">
      <c r="A49" s="16"/>
      <c r="B49" s="53"/>
      <c r="C49" s="53"/>
      <c r="D49" s="51"/>
      <c r="E49" s="23"/>
      <c r="F49" s="23"/>
      <c r="G49" s="23"/>
      <c r="H49" s="23"/>
      <c r="I49" s="26"/>
      <c r="J49" s="26"/>
      <c r="K49" s="26"/>
      <c r="L49" s="23"/>
      <c r="M49" s="23"/>
      <c r="N49" s="23"/>
      <c r="O49" s="23"/>
    </row>
    <row r="50" spans="1:182" x14ac:dyDescent="0.2">
      <c r="A50" s="14" t="s">
        <v>35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51"/>
    </row>
    <row r="51" spans="1:182" s="28" customFormat="1" x14ac:dyDescent="0.2">
      <c r="A51" s="32" t="s">
        <v>27</v>
      </c>
      <c r="B51" s="51">
        <v>898804</v>
      </c>
      <c r="C51" s="51">
        <v>1157689</v>
      </c>
      <c r="D51" s="51">
        <v>1193189</v>
      </c>
      <c r="E51" s="51">
        <v>1148292</v>
      </c>
      <c r="F51" s="37">
        <v>1134559</v>
      </c>
      <c r="G51" s="37">
        <v>913492</v>
      </c>
      <c r="H51" s="37">
        <v>835517</v>
      </c>
      <c r="I51" s="35">
        <v>910194</v>
      </c>
      <c r="J51" s="35">
        <v>990587</v>
      </c>
      <c r="K51" s="35">
        <v>1554630</v>
      </c>
      <c r="L51" s="35">
        <v>1623818</v>
      </c>
      <c r="M51" s="35">
        <v>1652959.9430200001</v>
      </c>
      <c r="N51" s="35">
        <f>+M51+0</f>
        <v>1652959.9430200001</v>
      </c>
      <c r="O51" s="51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  <c r="FN51" s="17"/>
      <c r="FO51" s="17"/>
      <c r="FP51" s="17"/>
      <c r="FQ51" s="17"/>
      <c r="FR51" s="17"/>
      <c r="FS51" s="17"/>
      <c r="FT51" s="17"/>
      <c r="FU51" s="17"/>
      <c r="FV51" s="17"/>
      <c r="FW51" s="17"/>
      <c r="FX51" s="17"/>
      <c r="FY51" s="17"/>
      <c r="FZ51" s="17"/>
    </row>
    <row r="52" spans="1:182" s="28" customFormat="1" x14ac:dyDescent="0.2">
      <c r="A52" s="32" t="s">
        <v>36</v>
      </c>
      <c r="B52" s="51">
        <v>157283</v>
      </c>
      <c r="C52" s="51">
        <v>148756</v>
      </c>
      <c r="D52" s="51">
        <v>166073</v>
      </c>
      <c r="E52" s="51">
        <v>153962</v>
      </c>
      <c r="F52" s="51">
        <v>174857</v>
      </c>
      <c r="G52" s="26">
        <v>114342</v>
      </c>
      <c r="H52" s="51">
        <v>122412</v>
      </c>
      <c r="I52" s="26">
        <v>137988</v>
      </c>
      <c r="J52" s="26">
        <v>132158</v>
      </c>
      <c r="K52" s="26">
        <v>346533</v>
      </c>
      <c r="L52" s="26">
        <v>346367</v>
      </c>
      <c r="M52" s="35">
        <v>485821</v>
      </c>
      <c r="N52" s="48">
        <f t="shared" ref="N52:N57" si="15">SUM(B52:M52)</f>
        <v>2486552</v>
      </c>
      <c r="O52" s="51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  <c r="FN52" s="17"/>
      <c r="FO52" s="17"/>
      <c r="FP52" s="17"/>
      <c r="FQ52" s="17"/>
      <c r="FR52" s="17"/>
      <c r="FS52" s="17"/>
      <c r="FT52" s="17"/>
      <c r="FU52" s="17"/>
      <c r="FV52" s="17"/>
      <c r="FW52" s="17"/>
      <c r="FX52" s="17"/>
      <c r="FY52" s="17"/>
      <c r="FZ52" s="17"/>
    </row>
    <row r="53" spans="1:182" s="28" customFormat="1" x14ac:dyDescent="0.2">
      <c r="A53" s="32" t="s">
        <v>37</v>
      </c>
      <c r="B53" s="23">
        <v>414858.11813999998</v>
      </c>
      <c r="C53" s="51">
        <v>385774.03105999995</v>
      </c>
      <c r="D53" s="51">
        <v>510698.23488999996</v>
      </c>
      <c r="E53" s="51">
        <v>831147.65261000022</v>
      </c>
      <c r="F53" s="51">
        <v>155987.99796285</v>
      </c>
      <c r="G53" s="26">
        <v>1202686.2623771199</v>
      </c>
      <c r="H53" s="51">
        <v>344594216.20965999</v>
      </c>
      <c r="I53" s="26">
        <v>172379259.69989997</v>
      </c>
      <c r="J53" s="26">
        <v>1558802.6553700001</v>
      </c>
      <c r="K53" s="26">
        <v>1332971</v>
      </c>
      <c r="L53" s="26">
        <v>1278753.26409</v>
      </c>
      <c r="M53" s="35">
        <v>2184992.0535999998</v>
      </c>
      <c r="N53" s="48">
        <f t="shared" si="15"/>
        <v>526830147.17965996</v>
      </c>
      <c r="O53" s="51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  <c r="FN53" s="17"/>
      <c r="FO53" s="17"/>
      <c r="FP53" s="17"/>
      <c r="FQ53" s="17"/>
      <c r="FR53" s="17"/>
      <c r="FS53" s="17"/>
      <c r="FT53" s="17"/>
      <c r="FU53" s="17"/>
      <c r="FV53" s="17"/>
      <c r="FW53" s="17"/>
      <c r="FX53" s="17"/>
      <c r="FY53" s="17"/>
      <c r="FZ53" s="17"/>
    </row>
    <row r="54" spans="1:182" s="28" customFormat="1" x14ac:dyDescent="0.2">
      <c r="A54" s="32" t="s">
        <v>39</v>
      </c>
      <c r="B54" s="23">
        <v>88530</v>
      </c>
      <c r="C54" s="51">
        <v>94962</v>
      </c>
      <c r="D54" s="51">
        <v>110851</v>
      </c>
      <c r="E54" s="51">
        <v>120785</v>
      </c>
      <c r="F54" s="51">
        <v>137225</v>
      </c>
      <c r="G54" s="26">
        <v>137497</v>
      </c>
      <c r="H54" s="51">
        <v>163561</v>
      </c>
      <c r="I54" s="26">
        <v>170252</v>
      </c>
      <c r="J54" s="26">
        <v>172355</v>
      </c>
      <c r="K54" s="26">
        <v>190466</v>
      </c>
      <c r="L54" s="26">
        <v>186069</v>
      </c>
      <c r="M54" s="35">
        <v>253189</v>
      </c>
      <c r="N54" s="48">
        <f t="shared" si="15"/>
        <v>1825742</v>
      </c>
      <c r="O54" s="51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  <c r="FN54" s="17"/>
      <c r="FO54" s="17"/>
      <c r="FP54" s="17"/>
      <c r="FQ54" s="17"/>
      <c r="FR54" s="17"/>
      <c r="FS54" s="17"/>
      <c r="FT54" s="17"/>
      <c r="FU54" s="17"/>
      <c r="FV54" s="17"/>
      <c r="FW54" s="17"/>
      <c r="FX54" s="17"/>
      <c r="FY54" s="17"/>
      <c r="FZ54" s="17"/>
    </row>
    <row r="55" spans="1:182" s="28" customFormat="1" x14ac:dyDescent="0.2">
      <c r="A55" s="32" t="s">
        <v>38</v>
      </c>
      <c r="B55" s="23">
        <v>149394.49352999998</v>
      </c>
      <c r="C55" s="51">
        <v>159936.22482</v>
      </c>
      <c r="D55" s="51">
        <v>178499.90178999997</v>
      </c>
      <c r="E55" s="51">
        <v>194351.49674999999</v>
      </c>
      <c r="F55" s="51">
        <v>219543.81216</v>
      </c>
      <c r="G55" s="26">
        <v>220633.80883999998</v>
      </c>
      <c r="H55" s="51">
        <v>270662.53953000001</v>
      </c>
      <c r="I55" s="26">
        <v>342599.1739600001</v>
      </c>
      <c r="J55" s="26">
        <v>276431.66852000006</v>
      </c>
      <c r="K55" s="26">
        <v>305093.41132999997</v>
      </c>
      <c r="L55" s="26">
        <v>556175.84802000003</v>
      </c>
      <c r="M55" s="35">
        <v>772161.24680999992</v>
      </c>
      <c r="N55" s="48">
        <f>SUM(B55:M55)</f>
        <v>3645483.6260599997</v>
      </c>
      <c r="O55" s="51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  <c r="FN55" s="17"/>
      <c r="FO55" s="17"/>
      <c r="FP55" s="17"/>
      <c r="FQ55" s="17"/>
      <c r="FR55" s="17"/>
      <c r="FS55" s="17"/>
      <c r="FT55" s="17"/>
      <c r="FU55" s="17"/>
      <c r="FV55" s="17"/>
      <c r="FW55" s="17"/>
      <c r="FX55" s="17"/>
      <c r="FY55" s="17"/>
      <c r="FZ55" s="17"/>
    </row>
    <row r="56" spans="1:182" x14ac:dyDescent="0.2">
      <c r="A56" s="19"/>
      <c r="B56" s="23"/>
      <c r="C56" s="51"/>
      <c r="D56" s="23"/>
      <c r="E56" s="23"/>
      <c r="F56" s="23"/>
      <c r="G56" s="23"/>
      <c r="H56" s="23"/>
      <c r="I56" s="23"/>
      <c r="J56" s="23"/>
      <c r="K56" s="23"/>
      <c r="L56" s="23"/>
      <c r="M56" s="26"/>
      <c r="N56" s="48">
        <f t="shared" si="15"/>
        <v>0</v>
      </c>
      <c r="O56" s="23"/>
    </row>
    <row r="57" spans="1:182" x14ac:dyDescent="0.2"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48">
        <f t="shared" si="15"/>
        <v>0</v>
      </c>
      <c r="O57" s="23"/>
    </row>
    <row r="58" spans="1:182" x14ac:dyDescent="0.2">
      <c r="A58" s="14" t="s">
        <v>28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27"/>
      <c r="O58" s="23"/>
    </row>
    <row r="59" spans="1:182" s="28" customFormat="1" x14ac:dyDescent="0.2">
      <c r="A59" s="33" t="s">
        <v>27</v>
      </c>
      <c r="B59" s="23"/>
      <c r="C59" s="23"/>
      <c r="D59" s="23"/>
      <c r="E59" s="23"/>
      <c r="F59" s="23"/>
      <c r="G59" s="23"/>
      <c r="H59" s="23"/>
      <c r="I59" s="23"/>
      <c r="J59" s="26"/>
      <c r="K59" s="26"/>
      <c r="L59" s="26"/>
      <c r="M59" s="26"/>
      <c r="N59" s="26">
        <f>+M59+0</f>
        <v>0</v>
      </c>
      <c r="O59" s="23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spans="1:182" s="28" customFormat="1" x14ac:dyDescent="0.2">
      <c r="A60" s="33" t="s">
        <v>31</v>
      </c>
      <c r="B60" s="23"/>
      <c r="C60" s="23"/>
      <c r="D60" s="23"/>
      <c r="E60" s="23"/>
      <c r="F60" s="44"/>
      <c r="G60" s="23"/>
      <c r="H60" s="23"/>
      <c r="I60" s="23"/>
      <c r="J60" s="51"/>
      <c r="K60" s="26"/>
      <c r="L60" s="26"/>
      <c r="M60" s="26"/>
      <c r="N60" s="26">
        <f t="shared" ref="N60:N63" si="16">SUM(B60:M60)</f>
        <v>0</v>
      </c>
      <c r="O60" s="23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spans="1:182" s="28" customFormat="1" x14ac:dyDescent="0.2">
      <c r="A61" s="33" t="s">
        <v>32</v>
      </c>
      <c r="B61" s="23"/>
      <c r="C61" s="23"/>
      <c r="D61" s="23"/>
      <c r="E61" s="23"/>
      <c r="F61" s="23"/>
      <c r="G61" s="23"/>
      <c r="H61" s="23"/>
      <c r="I61" s="26"/>
      <c r="J61" s="26"/>
      <c r="K61" s="26"/>
      <c r="L61" s="26"/>
      <c r="M61" s="36"/>
      <c r="N61" s="26">
        <f>SUM(B61:M61)</f>
        <v>0</v>
      </c>
      <c r="O61" s="23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 spans="1:182" s="28" customFormat="1" x14ac:dyDescent="0.2">
      <c r="A62" s="33" t="s">
        <v>29</v>
      </c>
      <c r="B62" s="23"/>
      <c r="C62" s="23"/>
      <c r="D62" s="23"/>
      <c r="E62" s="23"/>
      <c r="F62" s="44"/>
      <c r="G62" s="51"/>
      <c r="H62" s="23"/>
      <c r="I62" s="23"/>
      <c r="J62" s="26"/>
      <c r="K62" s="26"/>
      <c r="L62" s="26"/>
      <c r="M62" s="26"/>
      <c r="N62" s="26">
        <f t="shared" si="16"/>
        <v>0</v>
      </c>
      <c r="O62" s="23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spans="1:182" s="28" customFormat="1" x14ac:dyDescent="0.2">
      <c r="A63" s="33" t="s">
        <v>30</v>
      </c>
      <c r="B63" s="23"/>
      <c r="C63" s="23"/>
      <c r="D63" s="23"/>
      <c r="E63" s="23"/>
      <c r="F63" s="23"/>
      <c r="G63" s="23"/>
      <c r="H63" s="23"/>
      <c r="I63" s="23"/>
      <c r="J63" s="26"/>
      <c r="K63" s="26"/>
      <c r="L63" s="26"/>
      <c r="M63" s="26"/>
      <c r="N63" s="26">
        <f t="shared" si="16"/>
        <v>0</v>
      </c>
      <c r="O63" s="23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spans="1:182" x14ac:dyDescent="0.2">
      <c r="A64" s="17"/>
      <c r="B64" s="23"/>
      <c r="C64" s="23"/>
      <c r="D64" s="23"/>
      <c r="E64" s="23"/>
      <c r="F64" s="23"/>
      <c r="G64" s="23"/>
      <c r="H64" s="23"/>
      <c r="I64" s="23"/>
      <c r="J64" s="51"/>
      <c r="K64" s="23"/>
      <c r="L64" s="26"/>
      <c r="M64" s="26"/>
      <c r="N64" s="23"/>
      <c r="O64" s="23"/>
    </row>
    <row r="65" spans="1:14" x14ac:dyDescent="0.2">
      <c r="A65" s="17"/>
      <c r="B65" s="36"/>
      <c r="C65" s="36"/>
      <c r="D65" s="36"/>
      <c r="E65" s="36"/>
      <c r="F65" s="36"/>
      <c r="G65" s="36"/>
      <c r="H65" s="36"/>
    </row>
    <row r="66" spans="1:14" x14ac:dyDescent="0.2">
      <c r="A66" s="17"/>
    </row>
    <row r="67" spans="1:14" x14ac:dyDescent="0.2">
      <c r="E67" s="20"/>
    </row>
    <row r="68" spans="1:14" x14ac:dyDescent="0.2">
      <c r="J68" s="36"/>
      <c r="M68" s="36"/>
      <c r="N68" s="36"/>
    </row>
    <row r="69" spans="1:14" x14ac:dyDescent="0.2">
      <c r="D69" s="20" t="s">
        <v>52</v>
      </c>
    </row>
    <row r="72" spans="1:14" x14ac:dyDescent="0.2">
      <c r="F72" s="20"/>
      <c r="G72" s="20"/>
      <c r="H72" s="20"/>
      <c r="I72" s="20"/>
    </row>
    <row r="73" spans="1:14" x14ac:dyDescent="0.2">
      <c r="F73" s="20"/>
      <c r="G73" s="20"/>
      <c r="H73" s="20"/>
      <c r="I73" s="20"/>
    </row>
    <row r="74" spans="1:14" x14ac:dyDescent="0.2">
      <c r="F74" s="20"/>
      <c r="G74" s="20"/>
      <c r="H74" s="20"/>
      <c r="I74" s="20"/>
    </row>
    <row r="76" spans="1:14" x14ac:dyDescent="0.2">
      <c r="G76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Banca electronica 2015</vt:lpstr>
    </vt:vector>
  </TitlesOfParts>
  <Company>Banco de Mocambique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F. Fumo</dc:creator>
  <cp:lastModifiedBy>Belmira Rapissone</cp:lastModifiedBy>
  <dcterms:created xsi:type="dcterms:W3CDTF">2013-02-12T13:18:53Z</dcterms:created>
  <dcterms:modified xsi:type="dcterms:W3CDTF">2016-10-26T09:43:42Z</dcterms:modified>
</cp:coreProperties>
</file>
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DPG\Estatisticas\Estatisticas SNP\Estatisticas WEB\Banca Electrónica\"/>
    </mc:Choice>
  </mc:AlternateContent>
  <bookViews>
    <workbookView xWindow="3930" yWindow="120" windowWidth="9405" windowHeight="9990"/>
  </bookViews>
  <sheets>
    <sheet name="Banca electronica 2016" sheetId="1" r:id="rId1"/>
  </sheets>
  <calcPr calcId="152511"/>
</workbook>
</file>

<file path=xl/calcChain.xml><?xml version="1.0" encoding="utf-8"?>
<calcChain xmlns="http://schemas.openxmlformats.org/spreadsheetml/2006/main">
  <c r="N54" i="1" l="1"/>
  <c r="L4" i="1" l="1"/>
  <c r="M4" i="1"/>
  <c r="N4" i="1"/>
  <c r="H31" i="1"/>
  <c r="I31" i="1"/>
  <c r="J31" i="1"/>
  <c r="K31" i="1"/>
  <c r="L31" i="1"/>
  <c r="M31" i="1"/>
  <c r="K16" i="1" l="1"/>
  <c r="L16" i="1"/>
  <c r="M16" i="1"/>
  <c r="J16" i="1"/>
  <c r="N16" i="1"/>
  <c r="H16" i="1"/>
  <c r="K4" i="1" l="1"/>
  <c r="K10" i="1"/>
  <c r="K11" i="1"/>
  <c r="K13" i="1"/>
  <c r="K14" i="1"/>
  <c r="K15" i="1"/>
  <c r="K9" i="1"/>
  <c r="K8" i="1"/>
  <c r="K7" i="1"/>
  <c r="G28" i="1" l="1"/>
  <c r="N35" i="1" l="1"/>
  <c r="C31" i="1" l="1"/>
  <c r="D31" i="1"/>
  <c r="E31" i="1"/>
  <c r="F31" i="1"/>
  <c r="G31" i="1"/>
  <c r="N31" i="1" s="1"/>
  <c r="F16" i="1" l="1"/>
  <c r="G16" i="1"/>
  <c r="B31" i="1" l="1"/>
  <c r="C41" i="1" l="1"/>
  <c r="D41" i="1"/>
  <c r="E41" i="1"/>
  <c r="F41" i="1" l="1"/>
  <c r="N59" i="1" l="1"/>
  <c r="N51" i="1"/>
  <c r="N52" i="1"/>
  <c r="C36" i="1" l="1"/>
  <c r="D36" i="1"/>
  <c r="E36" i="1"/>
  <c r="F36" i="1"/>
  <c r="G36" i="1"/>
  <c r="H36" i="1"/>
  <c r="I36" i="1"/>
  <c r="J36" i="1"/>
  <c r="K36" i="1"/>
  <c r="L36" i="1"/>
  <c r="M36" i="1"/>
  <c r="B36" i="1"/>
  <c r="H41" i="1"/>
  <c r="G41" i="1"/>
  <c r="B41" i="1"/>
  <c r="J41" i="1"/>
  <c r="K41" i="1"/>
  <c r="L41" i="1"/>
  <c r="M41" i="1"/>
  <c r="I41" i="1" l="1"/>
  <c r="N42" i="1" l="1"/>
  <c r="N43" i="1"/>
  <c r="N55" i="1" l="1"/>
  <c r="N56" i="1"/>
  <c r="N57" i="1"/>
  <c r="N60" i="1" l="1"/>
  <c r="N63" i="1"/>
  <c r="N62" i="1"/>
  <c r="N61" i="1"/>
  <c r="N53" i="1"/>
  <c r="J4" i="1" l="1"/>
  <c r="C28" i="1" l="1"/>
  <c r="D28" i="1"/>
  <c r="F28" i="1"/>
  <c r="N28" i="1"/>
  <c r="H28" i="1"/>
  <c r="I28" i="1"/>
  <c r="J28" i="1"/>
  <c r="K28" i="1"/>
  <c r="L28" i="1"/>
  <c r="M28" i="1"/>
  <c r="B28" i="1"/>
  <c r="N37" i="1" l="1"/>
  <c r="N38" i="1"/>
  <c r="N39" i="1"/>
  <c r="N40" i="1"/>
  <c r="N44" i="1"/>
  <c r="N45" i="1"/>
  <c r="N47" i="1"/>
  <c r="N41" i="1" l="1"/>
  <c r="N36" i="1"/>
  <c r="I4" i="1" l="1"/>
  <c r="F4" i="1" l="1"/>
  <c r="G4" i="1"/>
  <c r="N48" i="1" l="1"/>
  <c r="I16" i="1" l="1"/>
  <c r="E16" i="1"/>
  <c r="D16" i="1"/>
  <c r="C16" i="1"/>
  <c r="B16" i="1"/>
  <c r="H4" i="1"/>
  <c r="E4" i="1"/>
  <c r="D4" i="1"/>
  <c r="C4" i="1"/>
  <c r="B4" i="1"/>
  <c r="XFD16" i="1" l="1"/>
  <c r="E28" i="1" l="1"/>
</calcChain>
</file>

<file path=xl/sharedStrings.xml><?xml version="1.0" encoding="utf-8"?>
<sst xmlns="http://schemas.openxmlformats.org/spreadsheetml/2006/main" count="69" uniqueCount="53">
  <si>
    <t>Número de Cartões</t>
  </si>
  <si>
    <t>Débito</t>
  </si>
  <si>
    <t>Crédito</t>
  </si>
  <si>
    <t>Total</t>
  </si>
  <si>
    <t>Número de máquinas</t>
  </si>
  <si>
    <t>ATM´s</t>
  </si>
  <si>
    <t>Cidade de Maputo</t>
  </si>
  <si>
    <t>Província de Maputo</t>
  </si>
  <si>
    <t>Gaza</t>
  </si>
  <si>
    <t>Inhambane</t>
  </si>
  <si>
    <t>Sofala</t>
  </si>
  <si>
    <t>Manica</t>
  </si>
  <si>
    <t>Tete</t>
  </si>
  <si>
    <t>Zambézia</t>
  </si>
  <si>
    <t>Nampula</t>
  </si>
  <si>
    <t>Cabo Delgado</t>
  </si>
  <si>
    <t>Niassa</t>
  </si>
  <si>
    <t>POS´s</t>
  </si>
  <si>
    <t>Transferências</t>
  </si>
  <si>
    <t>Levantamentos</t>
  </si>
  <si>
    <t>Pagamentos de Serviços</t>
  </si>
  <si>
    <t>Volume de transacções efectuadas em ATM</t>
  </si>
  <si>
    <t>Valor de transacções efectuadas em ATM</t>
  </si>
  <si>
    <t>Pré-Pagos</t>
  </si>
  <si>
    <t>Número de Contas</t>
  </si>
  <si>
    <t>Em Moeda nacional</t>
  </si>
  <si>
    <t>Em Moeda estrangeira</t>
  </si>
  <si>
    <t>Quantidade de subscritores</t>
  </si>
  <si>
    <t>Internet Banking</t>
  </si>
  <si>
    <t>Volume dos pagamentos  efectuados</t>
  </si>
  <si>
    <t>Valor dos pagamentos efectuados</t>
  </si>
  <si>
    <t>Volume das transferências efectuadas</t>
  </si>
  <si>
    <t>Valor das transferências efectuadas</t>
  </si>
  <si>
    <t>Valor de transacções efectuadas (pagamentos)</t>
  </si>
  <si>
    <t>Volume de transacções efectuadas  (pagamentos)</t>
  </si>
  <si>
    <t>Mobile Banking</t>
  </si>
  <si>
    <t>Volume das transferências efectuadas para contas</t>
  </si>
  <si>
    <t>Valor das transferências efectuadas para contas</t>
  </si>
  <si>
    <t>Valor das transferências efectuadas para contas para telemóveis</t>
  </si>
  <si>
    <t>Volume das transferências efectuadas para telemóveis</t>
  </si>
  <si>
    <t>Janeiro</t>
  </si>
  <si>
    <t>Fevereiro</t>
  </si>
  <si>
    <t>Março</t>
  </si>
  <si>
    <t>Abril</t>
  </si>
  <si>
    <t>Junho</t>
  </si>
  <si>
    <t>Maio</t>
  </si>
  <si>
    <t>Julho</t>
  </si>
  <si>
    <t>Agosto</t>
  </si>
  <si>
    <t>Setembro</t>
  </si>
  <si>
    <t>Outubro</t>
  </si>
  <si>
    <t>Novembro</t>
  </si>
  <si>
    <t>Dezembro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</si>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</sst>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\ _€_-;\-* #,##0.00\ _€_-;_-* &quot;-&quot;??\ _€_-;_-@_-"/>
    <numFmt numFmtId="165" formatCode="_-* #,##0.00\ _M_T_-;\-* #,##0.00\ _M_T_-;_-* &quot;-&quot;??\ _M_T_-;_-@_-"/>
    <numFmt numFmtId="166" formatCode="[$-409]mmm\-yy;@"/>
    <numFmt numFmtId="167" formatCode="_-* #,##0\ _M_T_-;\-* #,##0\ _M_T_-;_-* &quot;-&quot;??\ _M_T_-;_-@_-"/>
    <numFmt numFmtId="168" formatCode="_-* #,##0.00\ _M_t_-;\-* #,##0.00\ _M_t_-;_-* &quot;-&quot;??\ _M_t_-;_-@_-"/>
    <numFmt numFmtId="169" formatCode="_ * #,##0.00_ ;_ * \-#,##0.00_ ;_ * &quot;-&quot;??_ ;_ @_ "/>
  </numFmts>
  <fonts count="47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17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7" fillId="0" borderId="0"/>
    <xf numFmtId="168" fontId="8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8" fillId="0" borderId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" fillId="0" borderId="0"/>
    <xf numFmtId="168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7" fillId="0" borderId="0"/>
    <xf numFmtId="0" fontId="7" fillId="0" borderId="0"/>
    <xf numFmtId="169" fontId="7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11" borderId="7" applyNumberFormat="0" applyAlignment="0" applyProtection="0"/>
    <xf numFmtId="0" fontId="20" fillId="12" borderId="8" applyNumberFormat="0" applyAlignment="0" applyProtection="0"/>
    <xf numFmtId="0" fontId="21" fillId="12" borderId="7" applyNumberFormat="0" applyAlignment="0" applyProtection="0"/>
    <xf numFmtId="0" fontId="22" fillId="0" borderId="9" applyNumberFormat="0" applyFill="0" applyAlignment="0" applyProtection="0"/>
    <xf numFmtId="0" fontId="23" fillId="13" borderId="10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27" fillId="38" borderId="0" applyNumberFormat="0" applyBorder="0" applyAlignment="0" applyProtection="0"/>
    <xf numFmtId="16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28" fillId="0" borderId="0"/>
    <xf numFmtId="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2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6" borderId="0" applyNumberFormat="0" applyBorder="0" applyAlignment="0" applyProtection="0"/>
    <xf numFmtId="0" fontId="31" fillId="40" borderId="0" applyNumberFormat="0" applyBorder="0" applyAlignment="0" applyProtection="0"/>
    <xf numFmtId="0" fontId="32" fillId="57" borderId="13" applyNumberFormat="0" applyAlignment="0" applyProtection="0"/>
    <xf numFmtId="0" fontId="33" fillId="58" borderId="14" applyNumberFormat="0" applyAlignment="0" applyProtection="0"/>
    <xf numFmtId="43" fontId="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41" borderId="0" applyNumberFormat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44" borderId="13" applyNumberFormat="0" applyAlignment="0" applyProtection="0"/>
    <xf numFmtId="0" fontId="40" fillId="0" borderId="18" applyNumberFormat="0" applyFill="0" applyAlignment="0" applyProtection="0"/>
    <xf numFmtId="0" fontId="41" fillId="59" borderId="0" applyNumberFormat="0" applyBorder="0" applyAlignment="0" applyProtection="0"/>
    <xf numFmtId="0" fontId="8" fillId="60" borderId="19" applyNumberFormat="0" applyFont="0" applyAlignment="0" applyProtection="0"/>
    <xf numFmtId="0" fontId="42" fillId="57" borderId="20" applyNumberFormat="0" applyAlignment="0" applyProtection="0"/>
    <xf numFmtId="0" fontId="43" fillId="0" borderId="0" applyNumberFormat="0" applyFill="0" applyBorder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28" fillId="0" borderId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168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7" fillId="0" borderId="0"/>
    <xf numFmtId="16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" fillId="0" borderId="0"/>
    <xf numFmtId="0" fontId="7" fillId="0" borderId="0"/>
    <xf numFmtId="9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1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46" fillId="0" borderId="0"/>
    <xf numFmtId="0" fontId="46" fillId="0" borderId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46" fillId="0" borderId="0" applyFont="0" applyFill="0" applyBorder="0" applyAlignment="0" applyProtection="0"/>
    <xf numFmtId="0" fontId="8" fillId="0" borderId="0"/>
    <xf numFmtId="0" fontId="8" fillId="0" borderId="0"/>
    <xf numFmtId="168" fontId="8" fillId="0" borderId="0" applyFont="0" applyFill="0" applyBorder="0" applyAlignment="0" applyProtection="0"/>
    <xf numFmtId="0" fontId="46" fillId="0" borderId="0"/>
    <xf numFmtId="168" fontId="46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Fill="1" applyBorder="1"/>
    <xf numFmtId="0" fontId="1" fillId="0" borderId="0" xfId="0" applyFont="1" applyFill="1" applyBorder="1"/>
    <xf numFmtId="0" fontId="2" fillId="0" borderId="0" xfId="0" applyFont="1" applyBorder="1"/>
    <xf numFmtId="0" fontId="2" fillId="0" borderId="0" xfId="0" applyFont="1"/>
    <xf numFmtId="0" fontId="3" fillId="0" borderId="3" xfId="0" applyFont="1" applyBorder="1"/>
    <xf numFmtId="166" fontId="4" fillId="0" borderId="2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/>
    </xf>
    <xf numFmtId="0" fontId="4" fillId="3" borderId="1" xfId="0" applyFont="1" applyFill="1" applyBorder="1"/>
    <xf numFmtId="166" fontId="4" fillId="3" borderId="0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3" fillId="0" borderId="1" xfId="0" applyFont="1" applyBorder="1"/>
    <xf numFmtId="3" fontId="6" fillId="0" borderId="0" xfId="0" applyNumberFormat="1" applyFont="1"/>
    <xf numFmtId="0" fontId="3" fillId="0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indent="1"/>
    </xf>
    <xf numFmtId="0" fontId="2" fillId="0" borderId="1" xfId="0" applyFont="1" applyBorder="1"/>
    <xf numFmtId="0" fontId="2" fillId="0" borderId="0" xfId="0" applyFont="1" applyFill="1"/>
    <xf numFmtId="0" fontId="4" fillId="4" borderId="1" xfId="0" applyFont="1" applyFill="1" applyBorder="1"/>
    <xf numFmtId="0" fontId="4" fillId="0" borderId="0" xfId="0" applyFont="1" applyFill="1" applyBorder="1" applyAlignment="1">
      <alignment horizontal="left"/>
    </xf>
    <xf numFmtId="3" fontId="2" fillId="0" borderId="0" xfId="0" applyNumberFormat="1" applyFont="1"/>
    <xf numFmtId="167" fontId="5" fillId="4" borderId="0" xfId="1" applyNumberFormat="1" applyFont="1" applyFill="1" applyBorder="1"/>
    <xf numFmtId="167" fontId="3" fillId="0" borderId="0" xfId="1" applyNumberFormat="1" applyFont="1" applyBorder="1" applyAlignment="1">
      <alignment horizontal="right"/>
    </xf>
    <xf numFmtId="167" fontId="2" fillId="0" borderId="0" xfId="1" applyNumberFormat="1" applyFont="1"/>
    <xf numFmtId="167" fontId="1" fillId="0" borderId="0" xfId="1" applyNumberFormat="1" applyFont="1" applyBorder="1"/>
    <xf numFmtId="167" fontId="4" fillId="3" borderId="1" xfId="1" applyNumberFormat="1" applyFont="1" applyFill="1" applyBorder="1"/>
    <xf numFmtId="167" fontId="3" fillId="0" borderId="0" xfId="1" applyNumberFormat="1" applyFont="1" applyFill="1" applyBorder="1" applyAlignment="1">
      <alignment horizontal="right"/>
    </xf>
    <xf numFmtId="167" fontId="3" fillId="3" borderId="0" xfId="1" applyNumberFormat="1" applyFont="1" applyFill="1" applyBorder="1" applyAlignment="1">
      <alignment horizontal="right"/>
    </xf>
    <xf numFmtId="0" fontId="2" fillId="5" borderId="0" xfId="0" applyFont="1" applyFill="1"/>
    <xf numFmtId="0" fontId="3" fillId="6" borderId="1" xfId="0" applyFont="1" applyFill="1" applyBorder="1"/>
    <xf numFmtId="0" fontId="2" fillId="6" borderId="0" xfId="0" applyFont="1" applyFill="1"/>
    <xf numFmtId="0" fontId="3" fillId="0" borderId="1" xfId="0" applyFont="1" applyFill="1" applyBorder="1"/>
    <xf numFmtId="0" fontId="4" fillId="6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165" fontId="3" fillId="0" borderId="0" xfId="1" applyFont="1" applyFill="1" applyBorder="1" applyAlignment="1">
      <alignment horizontal="right"/>
    </xf>
    <xf numFmtId="165" fontId="2" fillId="0" borderId="0" xfId="1" applyFont="1"/>
    <xf numFmtId="165" fontId="2" fillId="0" borderId="0" xfId="1" applyFont="1" applyFill="1"/>
    <xf numFmtId="167" fontId="1" fillId="0" borderId="0" xfId="1" applyNumberFormat="1" applyFont="1" applyFill="1" applyBorder="1"/>
    <xf numFmtId="167" fontId="4" fillId="3" borderId="0" xfId="1" applyNumberFormat="1" applyFont="1" applyFill="1" applyBorder="1" applyAlignment="1">
      <alignment horizontal="right"/>
    </xf>
    <xf numFmtId="167" fontId="0" fillId="0" borderId="0" xfId="1" applyNumberFormat="1" applyFont="1"/>
    <xf numFmtId="167" fontId="0" fillId="0" borderId="0" xfId="0" applyNumberFormat="1"/>
    <xf numFmtId="167" fontId="4" fillId="3" borderId="1" xfId="1" applyNumberFormat="1" applyFont="1" applyFill="1" applyBorder="1" applyAlignment="1">
      <alignment horizontal="left"/>
    </xf>
    <xf numFmtId="167" fontId="3" fillId="0" borderId="0" xfId="1" applyNumberFormat="1" applyFont="1" applyFill="1" applyBorder="1" applyAlignment="1">
      <alignment horizontal="center"/>
    </xf>
    <xf numFmtId="167" fontId="2" fillId="0" borderId="0" xfId="1" applyNumberFormat="1" applyFont="1" applyBorder="1"/>
    <xf numFmtId="167" fontId="2" fillId="6" borderId="0" xfId="1" applyNumberFormat="1" applyFont="1" applyFill="1"/>
    <xf numFmtId="167" fontId="3" fillId="6" borderId="0" xfId="1" applyNumberFormat="1" applyFont="1" applyFill="1" applyBorder="1" applyAlignment="1">
      <alignment horizontal="right"/>
    </xf>
    <xf numFmtId="167" fontId="6" fillId="0" borderId="0" xfId="1" applyNumberFormat="1" applyFont="1"/>
    <xf numFmtId="167" fontId="6" fillId="0" borderId="0" xfId="1" applyNumberFormat="1" applyFont="1" applyBorder="1"/>
    <xf numFmtId="167" fontId="2" fillId="0" borderId="0" xfId="1" applyNumberFormat="1" applyFont="1" applyFill="1"/>
    <xf numFmtId="167" fontId="0" fillId="0" borderId="0" xfId="0" applyNumberFormat="1"/>
    <xf numFmtId="165" fontId="3" fillId="0" borderId="0" xfId="1" applyFont="1" applyBorder="1" applyAlignment="1">
      <alignment horizontal="right"/>
    </xf>
    <xf numFmtId="165" fontId="4" fillId="3" borderId="0" xfId="1" applyFont="1" applyFill="1" applyBorder="1" applyAlignment="1">
      <alignment horizontal="right"/>
    </xf>
    <xf numFmtId="165" fontId="3" fillId="6" borderId="0" xfId="1" applyFont="1" applyFill="1" applyBorder="1" applyAlignment="1">
      <alignment horizontal="right"/>
    </xf>
    <xf numFmtId="165" fontId="1" fillId="0" borderId="0" xfId="1" applyFont="1" applyFill="1" applyBorder="1" applyAlignment="1">
      <alignment horizontal="right"/>
    </xf>
    <xf numFmtId="165" fontId="2" fillId="0" borderId="0" xfId="1" applyFont="1" applyFill="1" applyBorder="1" applyAlignment="1">
      <alignment horizontal="right"/>
    </xf>
    <xf numFmtId="165" fontId="1" fillId="0" borderId="0" xfId="1" applyFont="1" applyFill="1" applyBorder="1"/>
    <xf numFmtId="167" fontId="2" fillId="0" borderId="0" xfId="0" applyNumberFormat="1" applyFont="1"/>
    <xf numFmtId="43" fontId="2" fillId="0" borderId="0" xfId="0" applyNumberFormat="1" applyFont="1"/>
    <xf numFmtId="165" fontId="3" fillId="3" borderId="0" xfId="1" applyFont="1" applyFill="1" applyBorder="1" applyAlignment="1">
      <alignment horizontal="right"/>
    </xf>
    <xf numFmtId="165" fontId="2" fillId="3" borderId="0" xfId="1" applyFont="1" applyFill="1"/>
    <xf numFmtId="165" fontId="2" fillId="7" borderId="0" xfId="1" applyFont="1" applyFill="1"/>
  </cellXfs>
  <cellStyles count="217">
    <cellStyle name="20% - Accent1" xfId="85" builtinId="30" customBuiltin="1"/>
    <cellStyle name="20% - Accent1 2" xfId="121"/>
    <cellStyle name="20% - Accent2" xfId="89" builtinId="34" customBuiltin="1"/>
    <cellStyle name="20% - Accent2 2" xfId="122"/>
    <cellStyle name="20% - Accent3" xfId="93" builtinId="38" customBuiltin="1"/>
    <cellStyle name="20% - Accent3 2" xfId="123"/>
    <cellStyle name="20% - Accent4" xfId="97" builtinId="42" customBuiltin="1"/>
    <cellStyle name="20% - Accent4 2" xfId="124"/>
    <cellStyle name="20% - Accent5" xfId="101" builtinId="46" customBuiltin="1"/>
    <cellStyle name="20% - Accent5 2" xfId="125"/>
    <cellStyle name="20% - Accent6" xfId="105" builtinId="50" customBuiltin="1"/>
    <cellStyle name="20% - Accent6 2" xfId="126"/>
    <cellStyle name="40% - Accent1" xfId="86" builtinId="31" customBuiltin="1"/>
    <cellStyle name="40% - Accent1 2" xfId="127"/>
    <cellStyle name="40% - Accent2" xfId="90" builtinId="35" customBuiltin="1"/>
    <cellStyle name="40% - Accent2 2" xfId="128"/>
    <cellStyle name="40% - Accent3" xfId="94" builtinId="39" customBuiltin="1"/>
    <cellStyle name="40% - Accent3 2" xfId="129"/>
    <cellStyle name="40% - Accent4" xfId="98" builtinId="43" customBuiltin="1"/>
    <cellStyle name="40% - Accent4 2" xfId="130"/>
    <cellStyle name="40% - Accent5" xfId="102" builtinId="47" customBuiltin="1"/>
    <cellStyle name="40% - Accent5 2" xfId="131"/>
    <cellStyle name="40% - Accent6" xfId="106" builtinId="51" customBuiltin="1"/>
    <cellStyle name="40% - Accent6 2" xfId="132"/>
    <cellStyle name="60% - Accent1" xfId="87" builtinId="32" customBuiltin="1"/>
    <cellStyle name="60% - Accent1 2" xfId="133"/>
    <cellStyle name="60% - Accent2" xfId="91" builtinId="36" customBuiltin="1"/>
    <cellStyle name="60% - Accent2 2" xfId="134"/>
    <cellStyle name="60% - Accent3" xfId="95" builtinId="40" customBuiltin="1"/>
    <cellStyle name="60% - Accent3 2" xfId="135"/>
    <cellStyle name="60% - Accent4" xfId="99" builtinId="44" customBuiltin="1"/>
    <cellStyle name="60% - Accent4 2" xfId="136"/>
    <cellStyle name="60% - Accent5" xfId="103" builtinId="48" customBuiltin="1"/>
    <cellStyle name="60% - Accent5 2" xfId="137"/>
    <cellStyle name="60% - Accent6" xfId="107" builtinId="52" customBuiltin="1"/>
    <cellStyle name="60% - Accent6 2" xfId="138"/>
    <cellStyle name="Accent1" xfId="84" builtinId="29" customBuiltin="1"/>
    <cellStyle name="Accent1 2" xfId="139"/>
    <cellStyle name="Accent2" xfId="88" builtinId="33" customBuiltin="1"/>
    <cellStyle name="Accent2 2" xfId="140"/>
    <cellStyle name="Accent3" xfId="92" builtinId="37" customBuiltin="1"/>
    <cellStyle name="Accent3 2" xfId="141"/>
    <cellStyle name="Accent4" xfId="96" builtinId="41" customBuiltin="1"/>
    <cellStyle name="Accent4 2" xfId="142"/>
    <cellStyle name="Accent5" xfId="100" builtinId="45" customBuiltin="1"/>
    <cellStyle name="Accent5 2" xfId="143"/>
    <cellStyle name="Accent6" xfId="104" builtinId="49" customBuiltin="1"/>
    <cellStyle name="Accent6 2" xfId="144"/>
    <cellStyle name="Bad" xfId="74" builtinId="27" customBuiltin="1"/>
    <cellStyle name="Bad 2" xfId="145"/>
    <cellStyle name="Calculation" xfId="78" builtinId="22" customBuiltin="1"/>
    <cellStyle name="Calculation 2" xfId="146"/>
    <cellStyle name="Check Cell" xfId="80" builtinId="23" customBuiltin="1"/>
    <cellStyle name="Check Cell 2" xfId="147"/>
    <cellStyle name="Comma" xfId="1" builtinId="3"/>
    <cellStyle name="Comma 10" xfId="174"/>
    <cellStyle name="Comma 11" xfId="175"/>
    <cellStyle name="Comma 12" xfId="179"/>
    <cellStyle name="Comma 13" xfId="193"/>
    <cellStyle name="Comma 13 2" xfId="216"/>
    <cellStyle name="Comma 14" xfId="208"/>
    <cellStyle name="Comma 2" xfId="4"/>
    <cellStyle name="Comma 2 2" xfId="6"/>
    <cellStyle name="Comma 2 2 2" xfId="41"/>
    <cellStyle name="Comma 2 2 2 2" xfId="188"/>
    <cellStyle name="Comma 2 2 2 3" xfId="114"/>
    <cellStyle name="Comma 2 2 3" xfId="38"/>
    <cellStyle name="Comma 2 2 3 2" xfId="57"/>
    <cellStyle name="Comma 2 2 3 3" xfId="187"/>
    <cellStyle name="Comma 2 2 3 4" xfId="180"/>
    <cellStyle name="Comma 2 2 4" xfId="110"/>
    <cellStyle name="Comma 2 3" xfId="43"/>
    <cellStyle name="Comma 2 3 2" xfId="118"/>
    <cellStyle name="Comma 2 3 3" xfId="111"/>
    <cellStyle name="Comma 2 4" xfId="36"/>
    <cellStyle name="Comma 2 4 2" xfId="55"/>
    <cellStyle name="Comma 3" xfId="9"/>
    <cellStyle name="Comma 3 2" xfId="17"/>
    <cellStyle name="Comma 3 2 2" xfId="189"/>
    <cellStyle name="Comma 3 2 3" xfId="115"/>
    <cellStyle name="Comma 3 3" xfId="34"/>
    <cellStyle name="Comma 3 3 2" xfId="54"/>
    <cellStyle name="Comma 3 3 3" xfId="185"/>
    <cellStyle name="Comma 3 3 4" xfId="176"/>
    <cellStyle name="Comma 3 4" xfId="201"/>
    <cellStyle name="Comma 3_BOM" xfId="183"/>
    <cellStyle name="Comma 4" xfId="10"/>
    <cellStyle name="Comma 4 2" xfId="21"/>
    <cellStyle name="Comma 4 2 2" xfId="39"/>
    <cellStyle name="Comma 4 2 3" xfId="112"/>
    <cellStyle name="Comma 4 3" xfId="25"/>
    <cellStyle name="Comma 4 3 2" xfId="56"/>
    <cellStyle name="Comma 4 3 3" xfId="37"/>
    <cellStyle name="Comma 4 3 4" xfId="165"/>
    <cellStyle name="Comma 4 3 5" xfId="113"/>
    <cellStyle name="Comma 4 4" xfId="29"/>
    <cellStyle name="Comma 4 4 2" xfId="197"/>
    <cellStyle name="Comma 4 4 2 2" xfId="210"/>
    <cellStyle name="Comma 4 4 3" xfId="119"/>
    <cellStyle name="Comma 4 5" xfId="32"/>
    <cellStyle name="Comma 4 5 2" xfId="203"/>
    <cellStyle name="Comma 4 5 3" xfId="177"/>
    <cellStyle name="Comma 4 6" xfId="66"/>
    <cellStyle name="Comma 4 6 2" xfId="205"/>
    <cellStyle name="Comma 4 6 3" xfId="181"/>
    <cellStyle name="Comma 4 6 4" xfId="211"/>
    <cellStyle name="Comma 4 7" xfId="182"/>
    <cellStyle name="Comma 4 8" xfId="196"/>
    <cellStyle name="Comma 4 8 2" xfId="214"/>
    <cellStyle name="Comma 4 9" xfId="204"/>
    <cellStyle name="Comma 5" xfId="11"/>
    <cellStyle name="Comma 5 2" xfId="30"/>
    <cellStyle name="Comma 5 2 2" xfId="202"/>
    <cellStyle name="Comma 5 2 3" xfId="194"/>
    <cellStyle name="Comma 5 3" xfId="64"/>
    <cellStyle name="Comma 6" xfId="14"/>
    <cellStyle name="Comma 6 2" xfId="46"/>
    <cellStyle name="Comma 6 3" xfId="108"/>
    <cellStyle name="Comma 6 4" xfId="148"/>
    <cellStyle name="Comma 7" xfId="16"/>
    <cellStyle name="Comma 7 2" xfId="164"/>
    <cellStyle name="Comma 7 3" xfId="163"/>
    <cellStyle name="Comma 8" xfId="28"/>
    <cellStyle name="Comma 8 2" xfId="166"/>
    <cellStyle name="Comma 8 2 2" xfId="209"/>
    <cellStyle name="Comma 8 3" xfId="109"/>
    <cellStyle name="Comma 9" xfId="2"/>
    <cellStyle name="Comma 9 2" xfId="172"/>
    <cellStyle name="Explanatory Text" xfId="82" builtinId="53" customBuiltin="1"/>
    <cellStyle name="Explanatory Text 2" xfId="149"/>
    <cellStyle name="Good" xfId="73" builtinId="26" customBuiltin="1"/>
    <cellStyle name="Good 2" xfId="150"/>
    <cellStyle name="Heading 1" xfId="69" builtinId="16" customBuiltin="1"/>
    <cellStyle name="Heading 1 2" xfId="151"/>
    <cellStyle name="Heading 2" xfId="70" builtinId="17" customBuiltin="1"/>
    <cellStyle name="Heading 2 2" xfId="152"/>
    <cellStyle name="Heading 3" xfId="71" builtinId="18" customBuiltin="1"/>
    <cellStyle name="Heading 3 2" xfId="153"/>
    <cellStyle name="Heading 4" xfId="72" builtinId="19" customBuiltin="1"/>
    <cellStyle name="Heading 4 2" xfId="154"/>
    <cellStyle name="Input" xfId="76" builtinId="20" customBuiltin="1"/>
    <cellStyle name="Input 2" xfId="155"/>
    <cellStyle name="Linked Cell" xfId="79" builtinId="24" customBuiltin="1"/>
    <cellStyle name="Linked Cell 2" xfId="156"/>
    <cellStyle name="Neutral" xfId="75" builtinId="28" customBuiltin="1"/>
    <cellStyle name="Neutral 2" xfId="157"/>
    <cellStyle name="Normal" xfId="0" builtinId="0"/>
    <cellStyle name="Normal 10" xfId="27"/>
    <cellStyle name="Normal 10 2" xfId="45"/>
    <cellStyle name="Normal 10 3" xfId="200"/>
    <cellStyle name="Normal 11" xfId="18"/>
    <cellStyle name="Normal 12" xfId="31"/>
    <cellStyle name="Normal 12 2" xfId="212"/>
    <cellStyle name="Normal 12 3" xfId="206"/>
    <cellStyle name="Normal 13" xfId="215"/>
    <cellStyle name="Normal 2" xfId="5"/>
    <cellStyle name="Normal 2 2" xfId="7"/>
    <cellStyle name="Normal 2 2 2" xfId="19"/>
    <cellStyle name="Normal 2 3" xfId="47"/>
    <cellStyle name="Normal 2 4" xfId="116"/>
    <cellStyle name="Normal 2_BOM" xfId="67"/>
    <cellStyle name="Normal 3" xfId="3"/>
    <cellStyle name="Normal 3 2" xfId="20"/>
    <cellStyle name="Normal 3 2 2" xfId="40"/>
    <cellStyle name="Normal 3 2 2 2" xfId="58"/>
    <cellStyle name="Normal 3 2 3" xfId="48"/>
    <cellStyle name="Normal 3 3" xfId="173"/>
    <cellStyle name="Normal 3_BOM" xfId="184"/>
    <cellStyle name="Normal 4" xfId="8"/>
    <cellStyle name="Normal 4 2" xfId="22"/>
    <cellStyle name="Normal 4 2 2" xfId="60"/>
    <cellStyle name="Normal 4 2 3" xfId="190"/>
    <cellStyle name="Normal 4 2 4" xfId="117"/>
    <cellStyle name="Normal 4 3" xfId="49"/>
    <cellStyle name="Normal 4 3 2" xfId="191"/>
    <cellStyle name="Normal 4 3 3" xfId="167"/>
    <cellStyle name="Normal 4 4" xfId="65"/>
    <cellStyle name="Normal 4 4 2" xfId="198"/>
    <cellStyle name="Normal 4 4 3" xfId="178"/>
    <cellStyle name="Normal 4 4 4" xfId="207"/>
    <cellStyle name="Normal 4 5" xfId="195"/>
    <cellStyle name="Normal 4 5 2" xfId="213"/>
    <cellStyle name="Normal 5" xfId="13"/>
    <cellStyle name="Normal 5 2" xfId="23"/>
    <cellStyle name="Normal 5 2 2" xfId="61"/>
    <cellStyle name="Normal 5 3" xfId="50"/>
    <cellStyle name="Normal 6" xfId="12"/>
    <cellStyle name="Normal 6 2" xfId="44"/>
    <cellStyle name="Normal 6 2 2" xfId="62"/>
    <cellStyle name="Normal 6 3" xfId="51"/>
    <cellStyle name="Normal 7" xfId="15"/>
    <cellStyle name="Normal 7 2" xfId="59"/>
    <cellStyle name="Normal 7 3" xfId="42"/>
    <cellStyle name="Normal 8" xfId="24"/>
    <cellStyle name="Normal 8 2" xfId="53"/>
    <cellStyle name="Normal 8 3" xfId="33"/>
    <cellStyle name="Normal 9" xfId="26"/>
    <cellStyle name="Normal 9 2" xfId="63"/>
    <cellStyle name="Normal 9 3" xfId="199"/>
    <cellStyle name="Note 2" xfId="158"/>
    <cellStyle name="Note 2 2" xfId="168"/>
    <cellStyle name="Note 3" xfId="169"/>
    <cellStyle name="Note 4" xfId="170"/>
    <cellStyle name="Note 5" xfId="171"/>
    <cellStyle name="Output" xfId="77" builtinId="21" customBuiltin="1"/>
    <cellStyle name="Output 2" xfId="159"/>
    <cellStyle name="Percent 2" xfId="35"/>
    <cellStyle name="Percent 2 2" xfId="186"/>
    <cellStyle name="Percent 2 3" xfId="120"/>
    <cellStyle name="Percent 3" xfId="52"/>
    <cellStyle name="Percent 3 2" xfId="192"/>
    <cellStyle name="Title" xfId="68" builtinId="15" customBuiltin="1"/>
    <cellStyle name="Title 2" xfId="160"/>
    <cellStyle name="Total" xfId="83" builtinId="25" customBuiltin="1"/>
    <cellStyle name="Total 2" xfId="161"/>
    <cellStyle name="Warning Text" xfId="81" builtinId="11" customBuiltin="1"/>
    <cellStyle name="Warning Text 2" xfId="16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6"/>
  <sheetViews>
    <sheetView tabSelected="1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I23" sqref="I23"/>
    </sheetView>
  </sheetViews>
  <sheetFormatPr defaultRowHeight="12" x14ac:dyDescent="0.2"/>
  <cols>
    <col min="1" max="1" width="58.28515625" style="4" customWidth="1"/>
    <col min="2" max="2" width="16.7109375" style="4" bestFit="1" customWidth="1"/>
    <col min="3" max="3" width="16.5703125" style="4" bestFit="1" customWidth="1"/>
    <col min="4" max="5" width="16.85546875" style="4" bestFit="1" customWidth="1"/>
    <col min="6" max="7" width="17.140625" style="4" bestFit="1" customWidth="1"/>
    <col min="8" max="8" width="19.140625" style="4" bestFit="1" customWidth="1"/>
    <col min="9" max="10" width="19" style="4" bestFit="1" customWidth="1"/>
    <col min="11" max="12" width="18.85546875" style="4" bestFit="1" customWidth="1"/>
    <col min="13" max="13" width="19" style="4" bestFit="1" customWidth="1"/>
    <col min="14" max="14" width="17.5703125" style="4" bestFit="1" customWidth="1"/>
    <col min="15" max="15" width="10.42578125" style="4" bestFit="1" customWidth="1"/>
    <col min="16" max="16" width="10.28515625" style="4" bestFit="1" customWidth="1"/>
    <col min="17" max="16384" width="9.140625" style="4"/>
  </cols>
  <sheetData>
    <row r="1" spans="1:15 16384:16384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 16384:16384" x14ac:dyDescent="0.2">
      <c r="A2" s="5"/>
      <c r="B2" s="6" t="s">
        <v>40</v>
      </c>
      <c r="C2" s="6" t="s">
        <v>41</v>
      </c>
      <c r="D2" s="6" t="s">
        <v>42</v>
      </c>
      <c r="E2" s="6" t="s">
        <v>43</v>
      </c>
      <c r="F2" s="6" t="s">
        <v>45</v>
      </c>
      <c r="G2" s="6" t="s">
        <v>44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50</v>
      </c>
      <c r="M2" s="6" t="s">
        <v>51</v>
      </c>
      <c r="N2" s="7" t="s">
        <v>3</v>
      </c>
      <c r="O2" s="3"/>
    </row>
    <row r="3" spans="1:15 16384:16384" x14ac:dyDescent="0.2">
      <c r="A3" s="8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"/>
    </row>
    <row r="4" spans="1:15 16384:16384" s="10" customFormat="1" x14ac:dyDescent="0.2">
      <c r="A4" s="18" t="s">
        <v>5</v>
      </c>
      <c r="B4" s="21">
        <f t="shared" ref="B4:I4" si="0">SUM(B5:B15)</f>
        <v>1602</v>
      </c>
      <c r="C4" s="21">
        <f t="shared" si="0"/>
        <v>1610</v>
      </c>
      <c r="D4" s="21">
        <f t="shared" si="0"/>
        <v>1625</v>
      </c>
      <c r="E4" s="21">
        <f t="shared" si="0"/>
        <v>1648</v>
      </c>
      <c r="F4" s="21">
        <f t="shared" si="0"/>
        <v>1656</v>
      </c>
      <c r="G4" s="21">
        <f t="shared" si="0"/>
        <v>1663</v>
      </c>
      <c r="H4" s="21">
        <f t="shared" si="0"/>
        <v>1671</v>
      </c>
      <c r="I4" s="21">
        <f t="shared" si="0"/>
        <v>1670</v>
      </c>
      <c r="J4" s="21">
        <f>SUM(J5:J15)</f>
        <v>1670</v>
      </c>
      <c r="K4" s="21">
        <f>SUM(K5:K15)</f>
        <v>1672</v>
      </c>
      <c r="L4" s="21">
        <f t="shared" ref="L4:N4" si="1">SUM(L5:L15)</f>
        <v>1671</v>
      </c>
      <c r="M4" s="21">
        <f t="shared" si="1"/>
        <v>1678</v>
      </c>
      <c r="N4" s="21">
        <f t="shared" si="1"/>
        <v>1678</v>
      </c>
      <c r="O4" s="47"/>
    </row>
    <row r="5" spans="1:15 16384:16384" x14ac:dyDescent="0.2">
      <c r="A5" s="11" t="s">
        <v>6</v>
      </c>
      <c r="B5" s="22">
        <v>557</v>
      </c>
      <c r="C5" s="22">
        <v>562</v>
      </c>
      <c r="D5" s="22">
        <v>565</v>
      </c>
      <c r="E5" s="22">
        <v>576</v>
      </c>
      <c r="F5" s="23">
        <v>578</v>
      </c>
      <c r="G5" s="23">
        <v>579</v>
      </c>
      <c r="H5" s="24">
        <v>582</v>
      </c>
      <c r="I5" s="24">
        <v>578</v>
      </c>
      <c r="J5" s="24">
        <v>578</v>
      </c>
      <c r="K5" s="24">
        <v>577</v>
      </c>
      <c r="L5" s="24">
        <v>577</v>
      </c>
      <c r="M5" s="24">
        <v>574</v>
      </c>
      <c r="N5" s="24">
        <v>574</v>
      </c>
      <c r="O5" s="43"/>
    </row>
    <row r="6" spans="1:15 16384:16384" x14ac:dyDescent="0.2">
      <c r="A6" s="11" t="s">
        <v>7</v>
      </c>
      <c r="B6" s="22">
        <v>220</v>
      </c>
      <c r="C6" s="22">
        <v>219</v>
      </c>
      <c r="D6" s="22">
        <v>225</v>
      </c>
      <c r="E6" s="22">
        <v>233</v>
      </c>
      <c r="F6" s="23">
        <v>233</v>
      </c>
      <c r="G6" s="23">
        <v>233</v>
      </c>
      <c r="H6" s="24">
        <v>237</v>
      </c>
      <c r="I6" s="24">
        <v>237</v>
      </c>
      <c r="J6" s="24">
        <v>237</v>
      </c>
      <c r="K6" s="24">
        <v>236</v>
      </c>
      <c r="L6" s="24">
        <v>233</v>
      </c>
      <c r="M6" s="24">
        <v>237</v>
      </c>
      <c r="N6" s="24">
        <v>237</v>
      </c>
      <c r="O6" s="43"/>
    </row>
    <row r="7" spans="1:15 16384:16384" x14ac:dyDescent="0.2">
      <c r="A7" s="11" t="s">
        <v>8</v>
      </c>
      <c r="B7" s="22">
        <v>79</v>
      </c>
      <c r="C7" s="22">
        <v>78</v>
      </c>
      <c r="D7" s="22">
        <v>80</v>
      </c>
      <c r="E7" s="22">
        <v>79</v>
      </c>
      <c r="F7" s="23">
        <v>82</v>
      </c>
      <c r="G7" s="23">
        <v>82</v>
      </c>
      <c r="H7" s="24">
        <v>81</v>
      </c>
      <c r="I7" s="24">
        <v>80</v>
      </c>
      <c r="J7" s="24">
        <v>80</v>
      </c>
      <c r="K7" s="24">
        <f>49+32</f>
        <v>81</v>
      </c>
      <c r="L7" s="24">
        <v>81</v>
      </c>
      <c r="M7" s="24">
        <v>81</v>
      </c>
      <c r="N7" s="24">
        <v>81</v>
      </c>
      <c r="O7" s="43"/>
    </row>
    <row r="8" spans="1:15 16384:16384" x14ac:dyDescent="0.2">
      <c r="A8" s="11" t="s">
        <v>9</v>
      </c>
      <c r="B8" s="22">
        <v>77</v>
      </c>
      <c r="C8" s="22">
        <v>77</v>
      </c>
      <c r="D8" s="22">
        <v>79</v>
      </c>
      <c r="E8" s="22">
        <v>79</v>
      </c>
      <c r="F8" s="23">
        <v>80</v>
      </c>
      <c r="G8" s="23">
        <v>80</v>
      </c>
      <c r="H8" s="24">
        <v>80</v>
      </c>
      <c r="I8" s="24">
        <v>80</v>
      </c>
      <c r="J8" s="24">
        <v>80</v>
      </c>
      <c r="K8" s="24">
        <f>42+38</f>
        <v>80</v>
      </c>
      <c r="L8" s="24">
        <v>78</v>
      </c>
      <c r="M8" s="24">
        <v>78</v>
      </c>
      <c r="N8" s="24">
        <v>78</v>
      </c>
      <c r="O8" s="43"/>
    </row>
    <row r="9" spans="1:15 16384:16384" x14ac:dyDescent="0.2">
      <c r="A9" s="11" t="s">
        <v>10</v>
      </c>
      <c r="B9" s="22">
        <v>129</v>
      </c>
      <c r="C9" s="22">
        <v>127</v>
      </c>
      <c r="D9" s="22">
        <v>129</v>
      </c>
      <c r="E9" s="22">
        <v>131</v>
      </c>
      <c r="F9" s="23">
        <v>131</v>
      </c>
      <c r="G9" s="23">
        <v>131</v>
      </c>
      <c r="H9" s="24">
        <v>131</v>
      </c>
      <c r="I9" s="24">
        <v>132</v>
      </c>
      <c r="J9" s="24">
        <v>132</v>
      </c>
      <c r="K9" s="24">
        <f>68+62</f>
        <v>130</v>
      </c>
      <c r="L9" s="24">
        <v>129</v>
      </c>
      <c r="M9" s="24">
        <v>130</v>
      </c>
      <c r="N9" s="24">
        <v>130</v>
      </c>
      <c r="O9" s="23"/>
    </row>
    <row r="10" spans="1:15 16384:16384" x14ac:dyDescent="0.2">
      <c r="A10" s="11" t="s">
        <v>11</v>
      </c>
      <c r="B10" s="22">
        <v>58</v>
      </c>
      <c r="C10" s="22">
        <v>58</v>
      </c>
      <c r="D10" s="22">
        <v>58</v>
      </c>
      <c r="E10" s="22">
        <v>58</v>
      </c>
      <c r="F10" s="23">
        <v>57</v>
      </c>
      <c r="G10" s="23">
        <v>60</v>
      </c>
      <c r="H10" s="24">
        <v>60</v>
      </c>
      <c r="I10" s="24">
        <v>60</v>
      </c>
      <c r="J10" s="24">
        <v>60</v>
      </c>
      <c r="K10" s="24">
        <f>32+28</f>
        <v>60</v>
      </c>
      <c r="L10" s="24">
        <v>61</v>
      </c>
      <c r="M10" s="24">
        <v>62</v>
      </c>
      <c r="N10" s="24">
        <v>62</v>
      </c>
      <c r="O10" s="23"/>
    </row>
    <row r="11" spans="1:15 16384:16384" x14ac:dyDescent="0.2">
      <c r="A11" s="11" t="s">
        <v>12</v>
      </c>
      <c r="B11" s="22">
        <v>102</v>
      </c>
      <c r="C11" s="22">
        <v>102</v>
      </c>
      <c r="D11" s="22">
        <v>103</v>
      </c>
      <c r="E11" s="22">
        <v>104</v>
      </c>
      <c r="F11" s="23">
        <v>103</v>
      </c>
      <c r="G11" s="23">
        <v>103</v>
      </c>
      <c r="H11" s="24">
        <v>103</v>
      </c>
      <c r="I11" s="24">
        <v>103</v>
      </c>
      <c r="J11" s="24">
        <v>103</v>
      </c>
      <c r="K11" s="24">
        <f>56+48</f>
        <v>104</v>
      </c>
      <c r="L11" s="24">
        <v>104</v>
      </c>
      <c r="M11" s="24">
        <v>104</v>
      </c>
      <c r="N11" s="24">
        <v>104</v>
      </c>
      <c r="O11" s="23"/>
    </row>
    <row r="12" spans="1:15 16384:16384" x14ac:dyDescent="0.2">
      <c r="A12" s="11" t="s">
        <v>13</v>
      </c>
      <c r="B12" s="22">
        <v>96</v>
      </c>
      <c r="C12" s="22">
        <v>100</v>
      </c>
      <c r="D12" s="22">
        <v>100</v>
      </c>
      <c r="E12" s="22">
        <v>100</v>
      </c>
      <c r="F12" s="23">
        <v>102</v>
      </c>
      <c r="G12" s="23">
        <v>102</v>
      </c>
      <c r="H12" s="24">
        <v>102</v>
      </c>
      <c r="I12" s="24">
        <v>102</v>
      </c>
      <c r="J12" s="24">
        <v>102</v>
      </c>
      <c r="K12" s="24">
        <v>105</v>
      </c>
      <c r="L12" s="24">
        <v>108</v>
      </c>
      <c r="M12" s="24">
        <v>108</v>
      </c>
      <c r="N12" s="24">
        <v>108</v>
      </c>
      <c r="O12" s="23"/>
    </row>
    <row r="13" spans="1:15 16384:16384" x14ac:dyDescent="0.2">
      <c r="A13" s="11" t="s">
        <v>14</v>
      </c>
      <c r="B13" s="22">
        <v>163</v>
      </c>
      <c r="C13" s="22">
        <v>166</v>
      </c>
      <c r="D13" s="22">
        <v>165</v>
      </c>
      <c r="E13" s="22">
        <v>167</v>
      </c>
      <c r="F13" s="23">
        <v>171</v>
      </c>
      <c r="G13" s="23">
        <v>172</v>
      </c>
      <c r="H13" s="24">
        <v>174</v>
      </c>
      <c r="I13" s="24">
        <v>175</v>
      </c>
      <c r="J13" s="24">
        <v>175</v>
      </c>
      <c r="K13" s="24">
        <f>102+75</f>
        <v>177</v>
      </c>
      <c r="L13" s="24">
        <v>178</v>
      </c>
      <c r="M13" s="24">
        <v>179</v>
      </c>
      <c r="N13" s="24">
        <v>179</v>
      </c>
      <c r="O13" s="23"/>
    </row>
    <row r="14" spans="1:15 16384:16384" x14ac:dyDescent="0.2">
      <c r="A14" s="11" t="s">
        <v>15</v>
      </c>
      <c r="B14" s="22">
        <v>75</v>
      </c>
      <c r="C14" s="22">
        <v>75</v>
      </c>
      <c r="D14" s="22">
        <v>75</v>
      </c>
      <c r="E14" s="22">
        <v>75</v>
      </c>
      <c r="F14" s="23">
        <v>75</v>
      </c>
      <c r="G14" s="23">
        <v>75</v>
      </c>
      <c r="H14" s="24">
        <v>75</v>
      </c>
      <c r="I14" s="24">
        <v>75</v>
      </c>
      <c r="J14" s="24">
        <v>75</v>
      </c>
      <c r="K14" s="24">
        <f>44+30</f>
        <v>74</v>
      </c>
      <c r="L14" s="24">
        <v>74</v>
      </c>
      <c r="M14" s="24">
        <v>76</v>
      </c>
      <c r="N14" s="24">
        <v>76</v>
      </c>
      <c r="O14" s="23"/>
    </row>
    <row r="15" spans="1:15 16384:16384" x14ac:dyDescent="0.2">
      <c r="A15" s="11" t="s">
        <v>16</v>
      </c>
      <c r="B15" s="22">
        <v>46</v>
      </c>
      <c r="C15" s="22">
        <v>46</v>
      </c>
      <c r="D15" s="22">
        <v>46</v>
      </c>
      <c r="E15" s="22">
        <v>46</v>
      </c>
      <c r="F15" s="23">
        <v>44</v>
      </c>
      <c r="G15" s="23">
        <v>46</v>
      </c>
      <c r="H15" s="24">
        <v>46</v>
      </c>
      <c r="I15" s="24">
        <v>48</v>
      </c>
      <c r="J15" s="24">
        <v>48</v>
      </c>
      <c r="K15" s="24">
        <f>22+26</f>
        <v>48</v>
      </c>
      <c r="L15" s="24">
        <v>48</v>
      </c>
      <c r="M15" s="24">
        <v>49</v>
      </c>
      <c r="N15" s="24">
        <v>49</v>
      </c>
      <c r="O15" s="23"/>
    </row>
    <row r="16" spans="1:15 16384:16384" s="10" customFormat="1" x14ac:dyDescent="0.2">
      <c r="A16" s="18" t="s">
        <v>17</v>
      </c>
      <c r="B16" s="21">
        <f t="shared" ref="B16:N16" si="2">SUM(B17:B27)</f>
        <v>21313</v>
      </c>
      <c r="C16" s="21">
        <f t="shared" si="2"/>
        <v>21430</v>
      </c>
      <c r="D16" s="21">
        <f t="shared" si="2"/>
        <v>21553</v>
      </c>
      <c r="E16" s="21">
        <f t="shared" si="2"/>
        <v>22205</v>
      </c>
      <c r="F16" s="21">
        <f t="shared" si="2"/>
        <v>23020</v>
      </c>
      <c r="G16" s="21">
        <f t="shared" si="2"/>
        <v>23258</v>
      </c>
      <c r="H16" s="21">
        <f>SUM(H17:H27)</f>
        <v>23045</v>
      </c>
      <c r="I16" s="21">
        <f t="shared" si="2"/>
        <v>23640.668099999999</v>
      </c>
      <c r="J16" s="21">
        <f>SUM(J17:J27)</f>
        <v>24828.668099999999</v>
      </c>
      <c r="K16" s="21">
        <f t="shared" ref="K16:M16" si="3">SUM(K17:K27)</f>
        <v>25090.668099999999</v>
      </c>
      <c r="L16" s="21">
        <f t="shared" si="3"/>
        <v>25390.668099999999</v>
      </c>
      <c r="M16" s="21">
        <f t="shared" si="3"/>
        <v>25938.668099999999</v>
      </c>
      <c r="N16" s="21">
        <f t="shared" si="2"/>
        <v>25814.668099999999</v>
      </c>
      <c r="O16" s="46"/>
      <c r="XFD16" s="12">
        <f>SUM(B16:XFC16)</f>
        <v>306528.00860000006</v>
      </c>
    </row>
    <row r="17" spans="1:16" ht="15" x14ac:dyDescent="0.25">
      <c r="A17" s="11" t="s">
        <v>6</v>
      </c>
      <c r="B17" s="22">
        <v>9040</v>
      </c>
      <c r="C17" s="22">
        <v>9160</v>
      </c>
      <c r="D17" s="22">
        <v>9196</v>
      </c>
      <c r="E17" s="22">
        <v>9363</v>
      </c>
      <c r="F17" s="22">
        <v>9560</v>
      </c>
      <c r="G17" s="22">
        <v>9653</v>
      </c>
      <c r="H17" s="24">
        <v>9609</v>
      </c>
      <c r="I17" s="24">
        <v>9627</v>
      </c>
      <c r="J17" s="24">
        <v>9892</v>
      </c>
      <c r="K17" s="24">
        <v>10006</v>
      </c>
      <c r="L17" s="39">
        <v>10031</v>
      </c>
      <c r="M17" s="39">
        <v>10171</v>
      </c>
      <c r="N17" s="39">
        <v>10068</v>
      </c>
      <c r="O17" s="23"/>
    </row>
    <row r="18" spans="1:16" x14ac:dyDescent="0.2">
      <c r="A18" s="11" t="s">
        <v>7</v>
      </c>
      <c r="B18" s="22">
        <v>3013</v>
      </c>
      <c r="C18" s="22">
        <v>3003</v>
      </c>
      <c r="D18" s="22">
        <v>3074</v>
      </c>
      <c r="E18" s="22">
        <v>3168</v>
      </c>
      <c r="F18" s="22">
        <v>3349</v>
      </c>
      <c r="G18" s="22">
        <v>3389</v>
      </c>
      <c r="H18" s="24">
        <v>3397</v>
      </c>
      <c r="I18" s="24">
        <v>3404</v>
      </c>
      <c r="J18" s="24">
        <v>3566</v>
      </c>
      <c r="K18" s="37">
        <v>3629</v>
      </c>
      <c r="L18" s="37">
        <v>3668</v>
      </c>
      <c r="M18" s="37">
        <v>3811</v>
      </c>
      <c r="N18" s="37">
        <v>3798</v>
      </c>
      <c r="O18" s="23"/>
      <c r="P18" s="56"/>
    </row>
    <row r="19" spans="1:16" x14ac:dyDescent="0.2">
      <c r="A19" s="11" t="s">
        <v>8</v>
      </c>
      <c r="B19" s="22">
        <v>934</v>
      </c>
      <c r="C19" s="22">
        <v>933</v>
      </c>
      <c r="D19" s="22">
        <v>945</v>
      </c>
      <c r="E19" s="22">
        <v>959</v>
      </c>
      <c r="F19" s="22">
        <v>978</v>
      </c>
      <c r="G19" s="22">
        <v>1000</v>
      </c>
      <c r="H19" s="24">
        <v>998</v>
      </c>
      <c r="I19" s="24">
        <v>992</v>
      </c>
      <c r="J19" s="24">
        <v>1060</v>
      </c>
      <c r="K19" s="37">
        <v>1033</v>
      </c>
      <c r="L19" s="37">
        <v>1013</v>
      </c>
      <c r="M19" s="37">
        <v>1060</v>
      </c>
      <c r="N19" s="37">
        <v>1060</v>
      </c>
      <c r="O19" s="23"/>
    </row>
    <row r="20" spans="1:16" x14ac:dyDescent="0.2">
      <c r="A20" s="11" t="s">
        <v>9</v>
      </c>
      <c r="B20" s="22">
        <v>1051</v>
      </c>
      <c r="C20" s="22">
        <v>1045</v>
      </c>
      <c r="D20" s="22">
        <v>1024</v>
      </c>
      <c r="E20" s="22">
        <v>1088</v>
      </c>
      <c r="F20" s="22">
        <v>1149</v>
      </c>
      <c r="G20" s="22">
        <v>1168</v>
      </c>
      <c r="H20" s="37">
        <v>1142</v>
      </c>
      <c r="I20" s="24">
        <v>1131</v>
      </c>
      <c r="J20" s="24">
        <v>1181</v>
      </c>
      <c r="K20" s="37">
        <v>1208</v>
      </c>
      <c r="L20" s="37">
        <v>1228</v>
      </c>
      <c r="M20" s="37">
        <v>1237</v>
      </c>
      <c r="N20" s="37">
        <v>1237</v>
      </c>
      <c r="O20" s="23"/>
    </row>
    <row r="21" spans="1:16" x14ac:dyDescent="0.2">
      <c r="A21" s="11" t="s">
        <v>10</v>
      </c>
      <c r="B21" s="22">
        <v>1660</v>
      </c>
      <c r="C21" s="22">
        <v>1647</v>
      </c>
      <c r="D21" s="22">
        <v>1621</v>
      </c>
      <c r="E21" s="22">
        <v>1703</v>
      </c>
      <c r="F21" s="22">
        <v>1763</v>
      </c>
      <c r="G21" s="22">
        <v>1798</v>
      </c>
      <c r="H21" s="24">
        <v>1793</v>
      </c>
      <c r="I21" s="24">
        <v>2014</v>
      </c>
      <c r="J21" s="24">
        <v>2149</v>
      </c>
      <c r="K21" s="37">
        <v>2156</v>
      </c>
      <c r="L21" s="37">
        <v>2170</v>
      </c>
      <c r="M21" s="37">
        <v>2201</v>
      </c>
      <c r="N21" s="37">
        <v>2201</v>
      </c>
      <c r="O21" s="23"/>
    </row>
    <row r="22" spans="1:16" x14ac:dyDescent="0.2">
      <c r="A22" s="11" t="s">
        <v>11</v>
      </c>
      <c r="B22" s="22">
        <v>677</v>
      </c>
      <c r="C22" s="22">
        <v>696</v>
      </c>
      <c r="D22" s="22">
        <v>709</v>
      </c>
      <c r="E22" s="22">
        <v>738</v>
      </c>
      <c r="F22" s="22">
        <v>792</v>
      </c>
      <c r="G22" s="22">
        <v>806</v>
      </c>
      <c r="H22" s="24">
        <v>803</v>
      </c>
      <c r="I22" s="24">
        <v>777</v>
      </c>
      <c r="J22" s="24">
        <v>853</v>
      </c>
      <c r="K22" s="37">
        <v>857</v>
      </c>
      <c r="L22" s="37">
        <v>906</v>
      </c>
      <c r="M22" s="37">
        <v>917</v>
      </c>
      <c r="N22" s="37">
        <v>917</v>
      </c>
      <c r="O22" s="23"/>
    </row>
    <row r="23" spans="1:16" x14ac:dyDescent="0.2">
      <c r="A23" s="11" t="s">
        <v>12</v>
      </c>
      <c r="B23" s="22">
        <v>1180</v>
      </c>
      <c r="C23" s="22">
        <v>1175</v>
      </c>
      <c r="D23" s="22">
        <v>1177</v>
      </c>
      <c r="E23" s="22">
        <v>1234</v>
      </c>
      <c r="F23" s="22">
        <v>1276</v>
      </c>
      <c r="G23" s="22">
        <v>1278</v>
      </c>
      <c r="H23" s="37">
        <v>1277</v>
      </c>
      <c r="I23" s="24">
        <v>1643.6680999999999</v>
      </c>
      <c r="J23" s="24">
        <v>1728.6680999999999</v>
      </c>
      <c r="K23" s="37">
        <v>1727.6680999999999</v>
      </c>
      <c r="L23" s="37">
        <v>1764.6680999999999</v>
      </c>
      <c r="M23" s="37">
        <v>1805.6680999999999</v>
      </c>
      <c r="N23" s="37">
        <v>1805.6680999999999</v>
      </c>
      <c r="O23" s="23"/>
    </row>
    <row r="24" spans="1:16" x14ac:dyDescent="0.2">
      <c r="A24" s="11" t="s">
        <v>13</v>
      </c>
      <c r="B24" s="22">
        <v>727</v>
      </c>
      <c r="C24" s="22">
        <v>722</v>
      </c>
      <c r="D24" s="22">
        <v>728</v>
      </c>
      <c r="E24" s="22">
        <v>769</v>
      </c>
      <c r="F24" s="22">
        <v>794</v>
      </c>
      <c r="G24" s="22">
        <v>803</v>
      </c>
      <c r="H24" s="24">
        <v>796</v>
      </c>
      <c r="I24" s="24">
        <v>814</v>
      </c>
      <c r="J24" s="24">
        <v>854</v>
      </c>
      <c r="K24" s="37">
        <v>866</v>
      </c>
      <c r="L24" s="37">
        <v>903</v>
      </c>
      <c r="M24" s="37">
        <v>928</v>
      </c>
      <c r="N24" s="37">
        <v>928</v>
      </c>
      <c r="O24" s="23"/>
    </row>
    <row r="25" spans="1:16" x14ac:dyDescent="0.2">
      <c r="A25" s="11" t="s">
        <v>14</v>
      </c>
      <c r="B25" s="22">
        <v>1885</v>
      </c>
      <c r="C25" s="22">
        <v>1890</v>
      </c>
      <c r="D25" s="22">
        <v>1909</v>
      </c>
      <c r="E25" s="22">
        <v>1974</v>
      </c>
      <c r="F25" s="22">
        <v>2104</v>
      </c>
      <c r="G25" s="22">
        <v>2121</v>
      </c>
      <c r="H25" s="37">
        <v>2104</v>
      </c>
      <c r="I25" s="24">
        <v>2109</v>
      </c>
      <c r="J25" s="24">
        <v>2200</v>
      </c>
      <c r="K25" s="37">
        <v>2242</v>
      </c>
      <c r="L25" s="37">
        <v>2311</v>
      </c>
      <c r="M25" s="37">
        <v>2220</v>
      </c>
      <c r="N25" s="37">
        <v>2212</v>
      </c>
      <c r="O25" s="23"/>
    </row>
    <row r="26" spans="1:16" x14ac:dyDescent="0.2">
      <c r="A26" s="11" t="s">
        <v>15</v>
      </c>
      <c r="B26" s="22">
        <v>754</v>
      </c>
      <c r="C26" s="22">
        <v>755</v>
      </c>
      <c r="D26" s="22">
        <v>760</v>
      </c>
      <c r="E26" s="22">
        <v>794</v>
      </c>
      <c r="F26" s="22">
        <v>820</v>
      </c>
      <c r="G26" s="22">
        <v>825</v>
      </c>
      <c r="H26" s="24">
        <v>707</v>
      </c>
      <c r="I26" s="24">
        <v>706</v>
      </c>
      <c r="J26" s="24">
        <v>874</v>
      </c>
      <c r="K26" s="37">
        <v>899</v>
      </c>
      <c r="L26" s="37">
        <v>920</v>
      </c>
      <c r="M26" s="37">
        <v>1101</v>
      </c>
      <c r="N26" s="37">
        <v>1101</v>
      </c>
      <c r="O26" s="23"/>
    </row>
    <row r="27" spans="1:16" x14ac:dyDescent="0.2">
      <c r="A27" s="11" t="s">
        <v>16</v>
      </c>
      <c r="B27" s="22">
        <v>392</v>
      </c>
      <c r="C27" s="22">
        <v>404</v>
      </c>
      <c r="D27" s="22">
        <v>410</v>
      </c>
      <c r="E27" s="22">
        <v>415</v>
      </c>
      <c r="F27" s="22">
        <v>435</v>
      </c>
      <c r="G27" s="22">
        <v>417</v>
      </c>
      <c r="H27" s="24">
        <v>419</v>
      </c>
      <c r="I27" s="24">
        <v>423</v>
      </c>
      <c r="J27" s="24">
        <v>471</v>
      </c>
      <c r="K27" s="24">
        <v>467</v>
      </c>
      <c r="L27" s="24">
        <v>476</v>
      </c>
      <c r="M27" s="24">
        <v>487</v>
      </c>
      <c r="N27" s="24">
        <v>487</v>
      </c>
      <c r="O27" s="23"/>
    </row>
    <row r="28" spans="1:16" x14ac:dyDescent="0.2">
      <c r="A28" s="8" t="s">
        <v>24</v>
      </c>
      <c r="B28" s="25">
        <f>+B29+B30</f>
        <v>4503232</v>
      </c>
      <c r="C28" s="25">
        <f t="shared" ref="C28:M28" si="4">+C29+C30</f>
        <v>4774549</v>
      </c>
      <c r="D28" s="25">
        <f t="shared" si="4"/>
        <v>4768483</v>
      </c>
      <c r="E28" s="25">
        <f t="shared" si="4"/>
        <v>4872695</v>
      </c>
      <c r="F28" s="25">
        <f t="shared" si="4"/>
        <v>5007690</v>
      </c>
      <c r="G28" s="25">
        <f t="shared" si="4"/>
        <v>5041599</v>
      </c>
      <c r="H28" s="25">
        <f t="shared" si="4"/>
        <v>5068532</v>
      </c>
      <c r="I28" s="25">
        <f t="shared" si="4"/>
        <v>5128603</v>
      </c>
      <c r="J28" s="25">
        <f t="shared" si="4"/>
        <v>5120976</v>
      </c>
      <c r="K28" s="25">
        <f t="shared" si="4"/>
        <v>5140099</v>
      </c>
      <c r="L28" s="25">
        <f t="shared" si="4"/>
        <v>5194195</v>
      </c>
      <c r="M28" s="25">
        <f t="shared" si="4"/>
        <v>5213441</v>
      </c>
      <c r="N28" s="25">
        <f>+G28</f>
        <v>5041599</v>
      </c>
      <c r="O28" s="23"/>
    </row>
    <row r="29" spans="1:16" x14ac:dyDescent="0.2">
      <c r="A29" s="13" t="s">
        <v>25</v>
      </c>
      <c r="B29" s="22">
        <v>4339216</v>
      </c>
      <c r="C29" s="22">
        <v>4594659</v>
      </c>
      <c r="D29" s="22">
        <v>4584479</v>
      </c>
      <c r="E29" s="22">
        <v>4686306</v>
      </c>
      <c r="F29" s="22">
        <v>4814081</v>
      </c>
      <c r="G29" s="22">
        <v>4847572</v>
      </c>
      <c r="H29" s="24">
        <v>4874328</v>
      </c>
      <c r="I29" s="24">
        <v>4933196</v>
      </c>
      <c r="J29" s="24">
        <v>4927604</v>
      </c>
      <c r="K29" s="24">
        <v>4935323</v>
      </c>
      <c r="L29" s="24">
        <v>4988908</v>
      </c>
      <c r="M29" s="24">
        <v>5008451</v>
      </c>
      <c r="N29" s="24">
        <v>5008451</v>
      </c>
      <c r="O29" s="23"/>
    </row>
    <row r="30" spans="1:16" x14ac:dyDescent="0.2">
      <c r="A30" s="13" t="s">
        <v>26</v>
      </c>
      <c r="B30" s="22">
        <v>164016</v>
      </c>
      <c r="C30" s="22">
        <v>179890</v>
      </c>
      <c r="D30" s="22">
        <v>184004</v>
      </c>
      <c r="E30" s="22">
        <v>186389</v>
      </c>
      <c r="F30" s="22">
        <v>193609</v>
      </c>
      <c r="G30" s="22">
        <v>194027</v>
      </c>
      <c r="H30" s="24">
        <v>194204</v>
      </c>
      <c r="I30" s="24">
        <v>195407</v>
      </c>
      <c r="J30" s="24">
        <v>193372</v>
      </c>
      <c r="K30" s="24">
        <v>204776</v>
      </c>
      <c r="L30" s="24">
        <v>205287</v>
      </c>
      <c r="M30" s="24">
        <v>204990</v>
      </c>
      <c r="N30" s="24">
        <v>204990</v>
      </c>
      <c r="O30" s="23"/>
    </row>
    <row r="31" spans="1:16" x14ac:dyDescent="0.2">
      <c r="A31" s="8" t="s">
        <v>0</v>
      </c>
      <c r="B31" s="38">
        <f>SUM(B32:B34)</f>
        <v>3047892</v>
      </c>
      <c r="C31" s="38">
        <f t="shared" ref="C31:M31" si="5">SUM(C32:C34)</f>
        <v>3106423</v>
      </c>
      <c r="D31" s="38">
        <f t="shared" si="5"/>
        <v>3189917</v>
      </c>
      <c r="E31" s="38">
        <f t="shared" si="5"/>
        <v>3224458</v>
      </c>
      <c r="F31" s="38">
        <f t="shared" si="5"/>
        <v>3251954</v>
      </c>
      <c r="G31" s="38">
        <f t="shared" si="5"/>
        <v>3261358</v>
      </c>
      <c r="H31" s="38">
        <f t="shared" si="5"/>
        <v>3282287</v>
      </c>
      <c r="I31" s="38">
        <f t="shared" si="5"/>
        <v>3326629</v>
      </c>
      <c r="J31" s="38">
        <f t="shared" si="5"/>
        <v>3322193</v>
      </c>
      <c r="K31" s="38">
        <f t="shared" si="5"/>
        <v>3369165</v>
      </c>
      <c r="L31" s="38">
        <f t="shared" si="5"/>
        <v>3430616</v>
      </c>
      <c r="M31" s="38">
        <f t="shared" si="5"/>
        <v>3455590</v>
      </c>
      <c r="N31" s="25">
        <f>+G31</f>
        <v>3261358</v>
      </c>
      <c r="O31" s="23"/>
    </row>
    <row r="32" spans="1:16" ht="15" x14ac:dyDescent="0.25">
      <c r="A32" s="13" t="s">
        <v>1</v>
      </c>
      <c r="B32" s="22">
        <v>2834559</v>
      </c>
      <c r="C32" s="22">
        <v>2885565</v>
      </c>
      <c r="D32" s="22">
        <v>2930848</v>
      </c>
      <c r="E32" s="22">
        <v>2961582</v>
      </c>
      <c r="F32" s="26">
        <v>2986657</v>
      </c>
      <c r="G32" s="26">
        <v>3002620</v>
      </c>
      <c r="H32" s="26">
        <v>3016349</v>
      </c>
      <c r="I32" s="26">
        <v>3059600</v>
      </c>
      <c r="J32" s="26">
        <v>3035878</v>
      </c>
      <c r="K32" s="40">
        <v>3095040</v>
      </c>
      <c r="L32" s="26">
        <v>3111845</v>
      </c>
      <c r="M32" s="26">
        <v>3155049</v>
      </c>
      <c r="N32" s="26">
        <v>3155049</v>
      </c>
      <c r="O32" s="23"/>
    </row>
    <row r="33" spans="1:125" ht="15" x14ac:dyDescent="0.25">
      <c r="A33" s="13" t="s">
        <v>2</v>
      </c>
      <c r="B33" s="22">
        <v>170688</v>
      </c>
      <c r="C33" s="22">
        <v>174404</v>
      </c>
      <c r="D33" s="22">
        <v>211835</v>
      </c>
      <c r="E33" s="22">
        <v>214588</v>
      </c>
      <c r="F33" s="26">
        <v>214146</v>
      </c>
      <c r="G33" s="26">
        <v>216222</v>
      </c>
      <c r="H33" s="26">
        <v>215751</v>
      </c>
      <c r="I33" s="26">
        <v>216575</v>
      </c>
      <c r="J33" s="26">
        <v>216294</v>
      </c>
      <c r="K33" s="26">
        <v>218489</v>
      </c>
      <c r="L33" s="26">
        <v>263014</v>
      </c>
      <c r="M33" s="49">
        <v>244590</v>
      </c>
      <c r="N33" s="49">
        <v>244590</v>
      </c>
      <c r="O33" s="23"/>
    </row>
    <row r="34" spans="1:125" x14ac:dyDescent="0.2">
      <c r="A34" s="13" t="s">
        <v>23</v>
      </c>
      <c r="B34" s="22">
        <v>42645</v>
      </c>
      <c r="C34" s="22">
        <v>46454</v>
      </c>
      <c r="D34" s="22">
        <v>47234</v>
      </c>
      <c r="E34" s="22">
        <v>48288</v>
      </c>
      <c r="F34" s="26">
        <v>51151</v>
      </c>
      <c r="G34" s="26">
        <v>42516</v>
      </c>
      <c r="H34" s="26">
        <v>50187</v>
      </c>
      <c r="I34" s="26">
        <v>50454</v>
      </c>
      <c r="J34" s="26">
        <v>70021</v>
      </c>
      <c r="K34" s="26">
        <v>55636</v>
      </c>
      <c r="L34" s="26">
        <v>55757</v>
      </c>
      <c r="M34" s="26">
        <v>55951</v>
      </c>
      <c r="N34" s="26">
        <v>55951</v>
      </c>
      <c r="O34" s="23"/>
    </row>
    <row r="35" spans="1:125" x14ac:dyDescent="0.2">
      <c r="A35" s="13"/>
      <c r="B35" s="26"/>
      <c r="C35" s="42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4">
        <f t="shared" ref="N35" si="6">+G35</f>
        <v>0</v>
      </c>
      <c r="O35" s="23"/>
    </row>
    <row r="36" spans="1:125" x14ac:dyDescent="0.2">
      <c r="A36" s="14" t="s">
        <v>21</v>
      </c>
      <c r="B36" s="38">
        <f>SUM(B37:B40)</f>
        <v>10338868</v>
      </c>
      <c r="C36" s="38">
        <f t="shared" ref="C36:N36" si="7">SUM(C37:C40)</f>
        <v>9413348</v>
      </c>
      <c r="D36" s="38">
        <f t="shared" si="7"/>
        <v>10688321</v>
      </c>
      <c r="E36" s="38">
        <f t="shared" si="7"/>
        <v>10505152</v>
      </c>
      <c r="F36" s="38">
        <f t="shared" si="7"/>
        <v>14108414</v>
      </c>
      <c r="G36" s="38">
        <f t="shared" si="7"/>
        <v>11393501</v>
      </c>
      <c r="H36" s="38">
        <f t="shared" si="7"/>
        <v>11451066</v>
      </c>
      <c r="I36" s="38">
        <f t="shared" si="7"/>
        <v>11096903</v>
      </c>
      <c r="J36" s="38">
        <f t="shared" si="7"/>
        <v>10876490</v>
      </c>
      <c r="K36" s="38">
        <f t="shared" si="7"/>
        <v>10782945</v>
      </c>
      <c r="L36" s="38">
        <f t="shared" si="7"/>
        <v>10945791</v>
      </c>
      <c r="M36" s="38">
        <f t="shared" si="7"/>
        <v>12078576</v>
      </c>
      <c r="N36" s="38">
        <f t="shared" si="7"/>
        <v>133679375</v>
      </c>
      <c r="O36" s="23"/>
    </row>
    <row r="37" spans="1:125" s="28" customFormat="1" x14ac:dyDescent="0.2">
      <c r="A37" s="29" t="s">
        <v>19</v>
      </c>
      <c r="B37" s="52">
        <v>9383395</v>
      </c>
      <c r="C37" s="34">
        <v>8481590</v>
      </c>
      <c r="D37" s="34">
        <v>9608244</v>
      </c>
      <c r="E37" s="34">
        <v>9465829</v>
      </c>
      <c r="F37" s="34">
        <v>12931864</v>
      </c>
      <c r="G37" s="34">
        <v>10369309</v>
      </c>
      <c r="H37" s="26">
        <v>10355591</v>
      </c>
      <c r="I37" s="45">
        <v>10101932</v>
      </c>
      <c r="J37" s="45">
        <v>9815285</v>
      </c>
      <c r="K37" s="45">
        <v>9753331</v>
      </c>
      <c r="L37" s="45">
        <v>9873712</v>
      </c>
      <c r="M37" s="45">
        <v>10973508</v>
      </c>
      <c r="N37" s="45">
        <f t="shared" ref="N37:N47" si="8">SUM(B37:M37)</f>
        <v>121113590</v>
      </c>
      <c r="O37" s="48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</row>
    <row r="38" spans="1:125" s="28" customFormat="1" x14ac:dyDescent="0.2">
      <c r="A38" s="29" t="s">
        <v>18</v>
      </c>
      <c r="B38" s="52">
        <v>787932</v>
      </c>
      <c r="C38" s="34">
        <v>741253</v>
      </c>
      <c r="D38" s="34">
        <v>896474</v>
      </c>
      <c r="E38" s="34">
        <v>864329</v>
      </c>
      <c r="F38" s="34">
        <v>989995</v>
      </c>
      <c r="G38" s="34">
        <v>843598</v>
      </c>
      <c r="H38" s="26">
        <v>907693</v>
      </c>
      <c r="I38" s="45">
        <v>811945</v>
      </c>
      <c r="J38" s="45">
        <v>891116</v>
      </c>
      <c r="K38" s="45">
        <v>859732</v>
      </c>
      <c r="L38" s="45">
        <v>873346</v>
      </c>
      <c r="M38" s="45">
        <v>921792</v>
      </c>
      <c r="N38" s="45">
        <f t="shared" si="8"/>
        <v>10389205</v>
      </c>
      <c r="O38" s="48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</row>
    <row r="39" spans="1:125" s="28" customFormat="1" x14ac:dyDescent="0.2">
      <c r="A39" s="29" t="s">
        <v>20</v>
      </c>
      <c r="B39" s="52">
        <v>167541</v>
      </c>
      <c r="C39" s="36">
        <v>190505</v>
      </c>
      <c r="D39" s="34">
        <v>183603</v>
      </c>
      <c r="E39" s="34">
        <v>174994</v>
      </c>
      <c r="F39" s="34">
        <v>186555</v>
      </c>
      <c r="G39" s="34">
        <v>180594</v>
      </c>
      <c r="H39" s="26">
        <v>187782</v>
      </c>
      <c r="I39" s="45">
        <v>183026</v>
      </c>
      <c r="J39" s="45">
        <v>170089</v>
      </c>
      <c r="K39" s="45">
        <v>169882</v>
      </c>
      <c r="L39" s="45">
        <v>198733</v>
      </c>
      <c r="M39" s="45">
        <v>183276</v>
      </c>
      <c r="N39" s="45">
        <f t="shared" si="8"/>
        <v>2176580</v>
      </c>
      <c r="O39" s="48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</row>
    <row r="40" spans="1:125" x14ac:dyDescent="0.2">
      <c r="A40" s="15"/>
      <c r="B40" s="50"/>
      <c r="C40" s="34"/>
      <c r="D40" s="26"/>
      <c r="E40" s="26"/>
      <c r="F40" s="26"/>
      <c r="G40" s="34"/>
      <c r="H40" s="26"/>
      <c r="I40" s="26"/>
      <c r="J40" s="26"/>
      <c r="K40" s="26"/>
      <c r="L40" s="24"/>
      <c r="M40" s="24"/>
      <c r="N40" s="22">
        <f t="shared" si="8"/>
        <v>0</v>
      </c>
      <c r="O40" s="48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</row>
    <row r="41" spans="1:125" x14ac:dyDescent="0.2">
      <c r="A41" s="14" t="s">
        <v>22</v>
      </c>
      <c r="B41" s="51">
        <f>SUM(B42:B45)</f>
        <v>26057120.893024161</v>
      </c>
      <c r="C41" s="51">
        <f t="shared" ref="C41:E41" si="9">SUM(C42:C45)</f>
        <v>23918457.838574156</v>
      </c>
      <c r="D41" s="51">
        <f t="shared" si="9"/>
        <v>25161970.381014161</v>
      </c>
      <c r="E41" s="51">
        <f t="shared" si="9"/>
        <v>25065449.437004168</v>
      </c>
      <c r="F41" s="51">
        <f>SUM(F42:F45)</f>
        <v>28171024.992274158</v>
      </c>
      <c r="G41" s="51">
        <f t="shared" ref="G41:N41" si="10">SUM(G42:G45)</f>
        <v>27921834.249014162</v>
      </c>
      <c r="H41" s="38">
        <f t="shared" si="10"/>
        <v>26562871.57520416</v>
      </c>
      <c r="I41" s="38">
        <f t="shared" si="10"/>
        <v>25971818.972064164</v>
      </c>
      <c r="J41" s="38">
        <f t="shared" si="10"/>
        <v>27743718.893914156</v>
      </c>
      <c r="K41" s="38">
        <f t="shared" si="10"/>
        <v>30209753.577994157</v>
      </c>
      <c r="L41" s="38">
        <f t="shared" si="10"/>
        <v>29966483.167704158</v>
      </c>
      <c r="M41" s="38">
        <f t="shared" si="10"/>
        <v>31932243.315594159</v>
      </c>
      <c r="N41" s="38">
        <f t="shared" si="10"/>
        <v>328682747.2933799</v>
      </c>
      <c r="O41" s="48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</row>
    <row r="42" spans="1:125" s="28" customFormat="1" x14ac:dyDescent="0.2">
      <c r="A42" s="29" t="s">
        <v>19</v>
      </c>
      <c r="B42" s="36">
        <v>21486875.19359</v>
      </c>
      <c r="C42" s="34">
        <v>19377602.793589994</v>
      </c>
      <c r="D42" s="34">
        <v>20052936.942120001</v>
      </c>
      <c r="E42" s="34">
        <v>19935883.289270006</v>
      </c>
      <c r="F42" s="34">
        <v>22178478.809269998</v>
      </c>
      <c r="G42" s="52">
        <v>22570097.630170003</v>
      </c>
      <c r="H42" s="45">
        <v>21032878.41017</v>
      </c>
      <c r="I42" s="45">
        <v>20582175.110170003</v>
      </c>
      <c r="J42" s="45">
        <v>21887677.495299995</v>
      </c>
      <c r="K42" s="45">
        <v>24260615.195299998</v>
      </c>
      <c r="L42" s="45">
        <v>23979228.695299998</v>
      </c>
      <c r="M42" s="45">
        <v>25546802.795299999</v>
      </c>
      <c r="N42" s="45">
        <f>SUM(B42:M42)</f>
        <v>262891252.35955</v>
      </c>
      <c r="O42" s="44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</row>
    <row r="43" spans="1:125" s="28" customFormat="1" x14ac:dyDescent="0.2">
      <c r="A43" s="29" t="s">
        <v>18</v>
      </c>
      <c r="B43" s="26">
        <v>4313919.1560871582</v>
      </c>
      <c r="C43" s="34">
        <v>4181329.9605571609</v>
      </c>
      <c r="D43" s="34">
        <v>4716507.2311071604</v>
      </c>
      <c r="E43" s="34">
        <v>4768899.0736071598</v>
      </c>
      <c r="F43" s="36">
        <v>5553192.9982071593</v>
      </c>
      <c r="G43" s="52">
        <v>5036282.0068271598</v>
      </c>
      <c r="H43" s="45">
        <v>5219739.3019571593</v>
      </c>
      <c r="I43" s="45">
        <v>5067083.1815971611</v>
      </c>
      <c r="J43" s="45">
        <v>5518223.7791071609</v>
      </c>
      <c r="K43" s="45">
        <v>5616652.1495171599</v>
      </c>
      <c r="L43" s="45">
        <v>5628979.1760471603</v>
      </c>
      <c r="M43" s="45">
        <v>6062814.6390071604</v>
      </c>
      <c r="N43" s="45">
        <f>SUM(B43:M43)</f>
        <v>61683622.653625913</v>
      </c>
      <c r="O43" s="44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</row>
    <row r="44" spans="1:125" s="28" customFormat="1" x14ac:dyDescent="0.2">
      <c r="A44" s="29" t="s">
        <v>20</v>
      </c>
      <c r="B44" s="52">
        <v>256326.543347</v>
      </c>
      <c r="C44" s="52">
        <v>359525.08442699997</v>
      </c>
      <c r="D44" s="34">
        <v>392526.20778700005</v>
      </c>
      <c r="E44" s="34">
        <v>360667.07412700006</v>
      </c>
      <c r="F44" s="52">
        <v>439353.18479699997</v>
      </c>
      <c r="G44" s="52">
        <v>315454.61201699998</v>
      </c>
      <c r="H44" s="45">
        <v>310253.86307700007</v>
      </c>
      <c r="I44" s="45">
        <v>322560.68029699998</v>
      </c>
      <c r="J44" s="45">
        <v>337817.61950699997</v>
      </c>
      <c r="K44" s="45">
        <v>332486.23317700002</v>
      </c>
      <c r="L44" s="45">
        <v>358275.29635700001</v>
      </c>
      <c r="M44" s="45">
        <v>322625.88128700008</v>
      </c>
      <c r="N44" s="45">
        <f>SUM(B44:M44)</f>
        <v>4107872.280204</v>
      </c>
      <c r="O44" s="44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</row>
    <row r="45" spans="1:125" x14ac:dyDescent="0.2">
      <c r="A45" s="16"/>
      <c r="B45" s="35"/>
      <c r="C45" s="35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2">
        <f t="shared" si="8"/>
        <v>0</v>
      </c>
      <c r="O45" s="23"/>
    </row>
    <row r="46" spans="1:125" x14ac:dyDescent="0.2">
      <c r="A46" s="14" t="s">
        <v>17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23"/>
    </row>
    <row r="47" spans="1:125" s="28" customFormat="1" x14ac:dyDescent="0.2">
      <c r="A47" s="31" t="s">
        <v>34</v>
      </c>
      <c r="B47" s="53">
        <v>2410228</v>
      </c>
      <c r="C47" s="53">
        <v>2348527</v>
      </c>
      <c r="D47" s="34">
        <v>2467532</v>
      </c>
      <c r="E47" s="53">
        <v>1961945</v>
      </c>
      <c r="F47" s="53">
        <v>1986031.5180000002</v>
      </c>
      <c r="G47" s="53">
        <v>1969530</v>
      </c>
      <c r="H47" s="54">
        <v>2046009</v>
      </c>
      <c r="I47" s="36">
        <v>2586511</v>
      </c>
      <c r="J47" s="36">
        <v>2577499</v>
      </c>
      <c r="K47" s="36">
        <v>2586511</v>
      </c>
      <c r="L47" s="36">
        <v>2691488</v>
      </c>
      <c r="M47" s="34">
        <v>3180463</v>
      </c>
      <c r="N47" s="34">
        <f t="shared" si="8"/>
        <v>28812274.517999999</v>
      </c>
      <c r="O47" s="48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</row>
    <row r="48" spans="1:125" s="28" customFormat="1" x14ac:dyDescent="0.2">
      <c r="A48" s="31" t="s">
        <v>33</v>
      </c>
      <c r="B48" s="53">
        <v>7980339.3066841299</v>
      </c>
      <c r="C48" s="53">
        <v>7122420.7057741303</v>
      </c>
      <c r="D48" s="34">
        <v>8128260.4054741282</v>
      </c>
      <c r="E48" s="53">
        <v>8158176.1170141315</v>
      </c>
      <c r="F48" s="53">
        <v>8436490.4410341308</v>
      </c>
      <c r="G48" s="34">
        <v>8445122.899454128</v>
      </c>
      <c r="H48" s="54">
        <v>8441142.3508441318</v>
      </c>
      <c r="I48" s="34">
        <v>8794191.5439641289</v>
      </c>
      <c r="J48" s="34">
        <v>8818430.5221241303</v>
      </c>
      <c r="K48" s="34">
        <v>8794191.5439641289</v>
      </c>
      <c r="L48" s="34">
        <v>9429029.6603941284</v>
      </c>
      <c r="M48" s="34">
        <v>10613434.128234131</v>
      </c>
      <c r="N48" s="55">
        <f>SUM(B48:M48)</f>
        <v>103161229.62495957</v>
      </c>
      <c r="O48" s="48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</row>
    <row r="49" spans="1:182" x14ac:dyDescent="0.2">
      <c r="A49" s="16"/>
      <c r="B49" s="53"/>
      <c r="C49" s="53"/>
      <c r="D49" s="36"/>
      <c r="E49" s="35"/>
      <c r="F49" s="35"/>
      <c r="G49" s="35"/>
      <c r="H49" s="35"/>
      <c r="I49" s="34"/>
      <c r="J49" s="34"/>
      <c r="K49" s="34"/>
      <c r="L49" s="35"/>
      <c r="M49" s="35"/>
      <c r="N49" s="23"/>
      <c r="O49" s="23"/>
    </row>
    <row r="50" spans="1:182" x14ac:dyDescent="0.2">
      <c r="A50" s="14" t="s">
        <v>35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27"/>
      <c r="O50" s="48"/>
    </row>
    <row r="51" spans="1:182" s="28" customFormat="1" x14ac:dyDescent="0.2">
      <c r="A51" s="32" t="s">
        <v>27</v>
      </c>
      <c r="B51" s="36">
        <v>1673911</v>
      </c>
      <c r="C51" s="36">
        <v>1570788</v>
      </c>
      <c r="D51" s="36">
        <v>1616275</v>
      </c>
      <c r="E51" s="36">
        <v>1631608</v>
      </c>
      <c r="F51" s="36">
        <v>1708826</v>
      </c>
      <c r="G51" s="36">
        <v>1732164</v>
      </c>
      <c r="H51" s="36">
        <v>1802798</v>
      </c>
      <c r="I51" s="34">
        <v>1861211</v>
      </c>
      <c r="J51" s="34">
        <v>1923270</v>
      </c>
      <c r="K51" s="34">
        <v>1965524</v>
      </c>
      <c r="L51" s="34">
        <v>2002332</v>
      </c>
      <c r="M51" s="34">
        <v>2052847</v>
      </c>
      <c r="N51" s="34">
        <f>+M51+0</f>
        <v>2052847</v>
      </c>
      <c r="O51" s="48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</row>
    <row r="52" spans="1:182" s="28" customFormat="1" x14ac:dyDescent="0.2">
      <c r="A52" s="32" t="s">
        <v>36</v>
      </c>
      <c r="B52" s="36">
        <v>416283</v>
      </c>
      <c r="C52" s="36">
        <v>562187</v>
      </c>
      <c r="D52" s="36">
        <v>461853</v>
      </c>
      <c r="E52" s="36">
        <v>460633</v>
      </c>
      <c r="F52" s="36">
        <v>473878</v>
      </c>
      <c r="G52" s="34">
        <v>523126</v>
      </c>
      <c r="H52" s="36">
        <v>523258</v>
      </c>
      <c r="I52" s="34">
        <v>542914</v>
      </c>
      <c r="J52" s="34">
        <v>558048</v>
      </c>
      <c r="K52" s="34">
        <v>561608</v>
      </c>
      <c r="L52" s="34">
        <v>561904</v>
      </c>
      <c r="M52" s="34">
        <v>570895</v>
      </c>
      <c r="N52" s="45">
        <f t="shared" ref="N52:N57" si="11">SUM(B52:M52)</f>
        <v>6216587</v>
      </c>
      <c r="O52" s="48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</row>
    <row r="53" spans="1:182" s="28" customFormat="1" x14ac:dyDescent="0.2">
      <c r="A53" s="32" t="s">
        <v>37</v>
      </c>
      <c r="B53" s="35">
        <v>1271320.0472500001</v>
      </c>
      <c r="C53" s="36">
        <v>1364599.01939</v>
      </c>
      <c r="D53" s="36">
        <v>1129974.83656</v>
      </c>
      <c r="E53" s="36">
        <v>1102720.4823699999</v>
      </c>
      <c r="F53" s="36">
        <v>1434609.42453</v>
      </c>
      <c r="G53" s="34">
        <v>2163900.5548</v>
      </c>
      <c r="H53" s="36">
        <v>2163910.6319800001</v>
      </c>
      <c r="I53" s="34">
        <v>2395836.69943</v>
      </c>
      <c r="J53" s="34">
        <v>1356511154.86919</v>
      </c>
      <c r="K53" s="34">
        <v>1346883393.6196699</v>
      </c>
      <c r="L53" s="34">
        <v>1346655746.1112299</v>
      </c>
      <c r="M53" s="34">
        <v>1350954421.7357101</v>
      </c>
      <c r="N53" s="45">
        <f t="shared" si="11"/>
        <v>5414031588.0321102</v>
      </c>
      <c r="O53" s="48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</row>
    <row r="54" spans="1:182" s="28" customFormat="1" x14ac:dyDescent="0.2">
      <c r="A54" s="32" t="s">
        <v>39</v>
      </c>
      <c r="B54" s="35">
        <v>219078</v>
      </c>
      <c r="C54" s="36">
        <v>202839</v>
      </c>
      <c r="D54" s="36">
        <v>242188</v>
      </c>
      <c r="E54" s="36">
        <v>244792</v>
      </c>
      <c r="F54" s="36">
        <v>263832</v>
      </c>
      <c r="G54" s="34">
        <v>263914</v>
      </c>
      <c r="H54" s="36">
        <v>147095</v>
      </c>
      <c r="I54" s="34">
        <v>314022</v>
      </c>
      <c r="J54" s="34">
        <v>304655</v>
      </c>
      <c r="K54" s="34">
        <v>324430</v>
      </c>
      <c r="L54" s="34">
        <v>324642</v>
      </c>
      <c r="M54" s="34">
        <v>396506</v>
      </c>
      <c r="N54" s="45">
        <f t="shared" si="11"/>
        <v>3247993</v>
      </c>
      <c r="O54" s="48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</row>
    <row r="55" spans="1:182" s="28" customFormat="1" x14ac:dyDescent="0.2">
      <c r="A55" s="32" t="s">
        <v>38</v>
      </c>
      <c r="B55" s="35">
        <v>358728.08812000003</v>
      </c>
      <c r="C55" s="36">
        <v>324316.87350000005</v>
      </c>
      <c r="D55" s="36">
        <v>376958.8161</v>
      </c>
      <c r="E55" s="36">
        <v>380361.51342999999</v>
      </c>
      <c r="F55" s="36">
        <v>406124.95617999992</v>
      </c>
      <c r="G55" s="34">
        <v>406810.68986999994</v>
      </c>
      <c r="H55" s="36">
        <v>405816.60909999994</v>
      </c>
      <c r="I55" s="34">
        <v>692827.93854</v>
      </c>
      <c r="J55" s="34">
        <v>1169716.03645</v>
      </c>
      <c r="K55" s="34">
        <v>1460207.09182</v>
      </c>
      <c r="L55" s="34">
        <v>1226244.72086</v>
      </c>
      <c r="M55" s="34">
        <v>1903832.2692899997</v>
      </c>
      <c r="N55" s="45">
        <f>SUM(B55:M55)</f>
        <v>9111945.6032599993</v>
      </c>
      <c r="O55" s="48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</row>
    <row r="56" spans="1:182" x14ac:dyDescent="0.2">
      <c r="A56" s="19"/>
      <c r="B56" s="35"/>
      <c r="C56" s="36"/>
      <c r="D56" s="35"/>
      <c r="E56" s="35"/>
      <c r="F56" s="35"/>
      <c r="G56" s="35"/>
      <c r="H56" s="35"/>
      <c r="I56" s="35"/>
      <c r="J56" s="35"/>
      <c r="K56" s="35"/>
      <c r="L56" s="35"/>
      <c r="M56" s="34"/>
      <c r="N56" s="45">
        <f t="shared" si="11"/>
        <v>0</v>
      </c>
      <c r="O56" s="23"/>
    </row>
    <row r="57" spans="1:182" x14ac:dyDescent="0.2">
      <c r="B57" s="35"/>
      <c r="C57" s="36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45">
        <f t="shared" si="11"/>
        <v>0</v>
      </c>
      <c r="O57" s="23"/>
    </row>
    <row r="58" spans="1:182" x14ac:dyDescent="0.2">
      <c r="A58" s="14" t="s">
        <v>28</v>
      </c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27"/>
      <c r="O58" s="23"/>
    </row>
    <row r="59" spans="1:182" s="28" customFormat="1" x14ac:dyDescent="0.2">
      <c r="A59" s="33" t="s">
        <v>27</v>
      </c>
      <c r="B59" s="35">
        <v>327382</v>
      </c>
      <c r="C59" s="36">
        <v>337187</v>
      </c>
      <c r="D59" s="35">
        <v>341073</v>
      </c>
      <c r="E59" s="35">
        <v>345163</v>
      </c>
      <c r="F59" s="35">
        <v>347289</v>
      </c>
      <c r="G59" s="35">
        <v>344035</v>
      </c>
      <c r="H59" s="35">
        <v>348795</v>
      </c>
      <c r="I59" s="35">
        <v>354310</v>
      </c>
      <c r="J59" s="34">
        <v>352655</v>
      </c>
      <c r="K59" s="34">
        <v>307748</v>
      </c>
      <c r="L59" s="34">
        <v>367422</v>
      </c>
      <c r="M59" s="34">
        <v>352238</v>
      </c>
      <c r="N59" s="26">
        <f>+M59+0</f>
        <v>352238</v>
      </c>
      <c r="O59" s="2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182" s="28" customFormat="1" x14ac:dyDescent="0.2">
      <c r="A60" s="33" t="s">
        <v>31</v>
      </c>
      <c r="B60" s="35">
        <v>252072.65114999999</v>
      </c>
      <c r="C60" s="36">
        <v>274194.65114999999</v>
      </c>
      <c r="D60" s="35">
        <v>295569.07438999997</v>
      </c>
      <c r="E60" s="35">
        <v>307397.07438999997</v>
      </c>
      <c r="F60" s="60">
        <v>317894.07438999997</v>
      </c>
      <c r="G60" s="35">
        <v>184280</v>
      </c>
      <c r="H60" s="35">
        <v>245519</v>
      </c>
      <c r="I60" s="35">
        <v>255899</v>
      </c>
      <c r="J60" s="36">
        <v>241809</v>
      </c>
      <c r="K60" s="34">
        <v>213225</v>
      </c>
      <c r="L60" s="34">
        <v>260670</v>
      </c>
      <c r="M60" s="34">
        <v>268995</v>
      </c>
      <c r="N60" s="26">
        <f t="shared" ref="N60:N63" si="12">SUM(B60:M60)</f>
        <v>3117524.5254699998</v>
      </c>
      <c r="O60" s="2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182" s="28" customFormat="1" x14ac:dyDescent="0.2">
      <c r="A61" s="33" t="s">
        <v>32</v>
      </c>
      <c r="B61" s="35">
        <v>16793669.521965012</v>
      </c>
      <c r="C61" s="36">
        <v>15327223.786095109</v>
      </c>
      <c r="D61" s="35">
        <v>16834721.1181533</v>
      </c>
      <c r="E61" s="35">
        <v>24247795.607531354</v>
      </c>
      <c r="F61" s="35">
        <v>27117231.309643313</v>
      </c>
      <c r="G61" s="35">
        <v>28981051.138845313</v>
      </c>
      <c r="H61" s="35">
        <v>33495279.701321993</v>
      </c>
      <c r="I61" s="34">
        <v>34736948.988633901</v>
      </c>
      <c r="J61" s="36">
        <v>29004426.208655845</v>
      </c>
      <c r="K61" s="34">
        <v>22558169.46009253</v>
      </c>
      <c r="L61" s="34">
        <v>44638696.513759404</v>
      </c>
      <c r="M61" s="35">
        <v>37634553.820218913</v>
      </c>
      <c r="N61" s="26">
        <f>SUM(B61:M61)</f>
        <v>331369767.17491603</v>
      </c>
      <c r="O61" s="2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182" s="28" customFormat="1" x14ac:dyDescent="0.2">
      <c r="A62" s="33" t="s">
        <v>29</v>
      </c>
      <c r="B62" s="35">
        <v>91308</v>
      </c>
      <c r="C62" s="36">
        <v>102345</v>
      </c>
      <c r="D62" s="35">
        <v>102885</v>
      </c>
      <c r="E62" s="35">
        <v>94802</v>
      </c>
      <c r="F62" s="60">
        <v>206289.14489</v>
      </c>
      <c r="G62" s="36">
        <v>652557.68775000016</v>
      </c>
      <c r="H62" s="35">
        <v>649153.68775000016</v>
      </c>
      <c r="I62" s="35">
        <v>659983.68775000016</v>
      </c>
      <c r="J62" s="34">
        <v>96179</v>
      </c>
      <c r="K62" s="34">
        <v>75294</v>
      </c>
      <c r="L62" s="34">
        <v>101183</v>
      </c>
      <c r="M62" s="34">
        <v>106359</v>
      </c>
      <c r="N62" s="26">
        <f t="shared" si="12"/>
        <v>2938339.2081400002</v>
      </c>
      <c r="O62" s="2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182" s="28" customFormat="1" x14ac:dyDescent="0.2">
      <c r="A63" s="33" t="s">
        <v>30</v>
      </c>
      <c r="B63" s="35">
        <v>5105465.1109077502</v>
      </c>
      <c r="C63" s="36">
        <v>4565788.7657178007</v>
      </c>
      <c r="D63" s="35">
        <v>4769486.5223287055</v>
      </c>
      <c r="E63" s="35">
        <v>5971741.1959920507</v>
      </c>
      <c r="F63" s="35">
        <v>5606489.5480318684</v>
      </c>
      <c r="G63" s="35">
        <v>5402447.0119243078</v>
      </c>
      <c r="H63" s="35">
        <v>5380672.0373943076</v>
      </c>
      <c r="I63" s="35">
        <v>5445694.9332605004</v>
      </c>
      <c r="J63" s="34">
        <v>6419326375.4300356</v>
      </c>
      <c r="K63" s="34">
        <v>5285882119.3961706</v>
      </c>
      <c r="L63" s="34">
        <v>6235666986.9101505</v>
      </c>
      <c r="M63" s="34">
        <v>7434268241.6632309</v>
      </c>
      <c r="N63" s="26">
        <f t="shared" si="12"/>
        <v>25417391508.525146</v>
      </c>
      <c r="O63" s="2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182" x14ac:dyDescent="0.2">
      <c r="A64" s="17"/>
      <c r="B64" s="23"/>
      <c r="C64" s="48"/>
      <c r="D64" s="23"/>
      <c r="E64" s="23"/>
      <c r="F64" s="23"/>
      <c r="G64" s="23"/>
      <c r="H64" s="23"/>
      <c r="I64" s="23"/>
      <c r="J64" s="48"/>
      <c r="K64" s="23"/>
      <c r="L64" s="26"/>
      <c r="M64" s="26"/>
      <c r="N64" s="23"/>
      <c r="O64" s="23"/>
    </row>
    <row r="65" spans="1:14" x14ac:dyDescent="0.2">
      <c r="A65" s="17"/>
      <c r="B65" s="35"/>
      <c r="C65" s="35"/>
      <c r="D65" s="35"/>
      <c r="E65" s="35"/>
      <c r="F65" s="35"/>
      <c r="G65" s="35"/>
      <c r="H65" s="35"/>
    </row>
    <row r="66" spans="1:14" x14ac:dyDescent="0.2">
      <c r="A66" s="17"/>
    </row>
    <row r="67" spans="1:14" x14ac:dyDescent="0.2">
      <c r="E67" s="20"/>
    </row>
    <row r="68" spans="1:14" x14ac:dyDescent="0.2">
      <c r="J68" s="35"/>
      <c r="K68" s="35"/>
      <c r="L68" s="35"/>
      <c r="M68" s="35"/>
      <c r="N68" s="35"/>
    </row>
    <row r="69" spans="1:14" x14ac:dyDescent="0.2">
      <c r="D69" s="20" t="s">
        <v>52</v>
      </c>
      <c r="M69" s="57"/>
    </row>
    <row r="70" spans="1:14" x14ac:dyDescent="0.2">
      <c r="M70" s="57"/>
    </row>
    <row r="72" spans="1:14" x14ac:dyDescent="0.2">
      <c r="F72" s="20"/>
      <c r="G72" s="20"/>
      <c r="H72" s="20"/>
      <c r="I72" s="20"/>
    </row>
    <row r="73" spans="1:14" x14ac:dyDescent="0.2">
      <c r="F73" s="20"/>
      <c r="G73" s="20"/>
      <c r="H73" s="20"/>
      <c r="I73" s="20"/>
    </row>
    <row r="74" spans="1:14" x14ac:dyDescent="0.2">
      <c r="F74" s="20"/>
      <c r="G74" s="20"/>
      <c r="H74" s="20"/>
      <c r="I74" s="20"/>
    </row>
    <row r="76" spans="1:14" x14ac:dyDescent="0.2">
      <c r="G76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Banca electronica 2016</vt:lpstr>
    </vt:vector>
  </TitlesOfParts>
  <Company>Banco de Mocambique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F. Fumo</dc:creator>
  <cp:lastModifiedBy>Belmira Rapissone</cp:lastModifiedBy>
  <dcterms:created xsi:type="dcterms:W3CDTF">2013-02-12T13:18:53Z</dcterms:created>
  <dcterms:modified xsi:type="dcterms:W3CDTF">2017-03-01T11:22:23Z</dcterms:modified>
</cp:coreProperties>
</file>